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uario\Desktop\Datasets\"/>
    </mc:Choice>
  </mc:AlternateContent>
  <xr:revisionPtr revIDLastSave="0" documentId="13_ncr:1_{99A9BC37-98AE-48C7-A302-9E552DA346D7}" xr6:coauthVersionLast="47" xr6:coauthVersionMax="47" xr10:uidLastSave="{00000000-0000-0000-0000-000000000000}"/>
  <bookViews>
    <workbookView xWindow="-120" yWindow="-120" windowWidth="20730" windowHeight="11160" firstSheet="3" activeTab="5" xr2:uid="{726642D0-162D-42B0-B3E8-68AA48554B30}"/>
  </bookViews>
  <sheets>
    <sheet name="pais_acogida" sheetId="1" r:id="rId1"/>
    <sheet name="pais_acogida_UNHCR_bureaus" sheetId="20" r:id="rId2"/>
    <sheet name="pais_acogida_UN_regions" sheetId="21" r:id="rId3"/>
    <sheet name="pais_origen" sheetId="2" r:id="rId4"/>
    <sheet name="pais_origen_UNHCR_bureaus" sheetId="22" r:id="rId5"/>
    <sheet name="pais_origen_UN_regions" sheetId="23" r:id="rId6"/>
    <sheet name="demografia" sheetId="19" r:id="rId7"/>
  </sheets>
  <definedNames>
    <definedName name="_xlnm._FilterDatabase" localSheetId="6" hidden="1">demografia!$A$9:$W$584</definedName>
    <definedName name="_xlnm._FilterDatabase" localSheetId="0" hidden="1">pais_acogida!$A$8:$M$188</definedName>
    <definedName name="_xlnm._FilterDatabase" localSheetId="3" hidden="1">pais_origen!$A$7:$M$224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23" l="1"/>
  <c r="K7" i="23"/>
  <c r="J7" i="23"/>
  <c r="I7" i="23"/>
  <c r="H7" i="23"/>
  <c r="G7" i="23"/>
  <c r="F7" i="23"/>
  <c r="E7" i="23"/>
  <c r="D7" i="23"/>
  <c r="C7" i="23"/>
  <c r="B7" i="23"/>
  <c r="L6" i="23"/>
  <c r="K6" i="23"/>
  <c r="J6" i="23"/>
  <c r="I6" i="23"/>
  <c r="H6" i="23"/>
  <c r="G6" i="23"/>
  <c r="F6" i="23"/>
  <c r="E6" i="23"/>
  <c r="D6" i="23"/>
  <c r="C6" i="23"/>
  <c r="B6" i="23"/>
  <c r="L5" i="23"/>
  <c r="K5" i="23"/>
  <c r="J5" i="23"/>
  <c r="I5" i="23"/>
  <c r="H5" i="23"/>
  <c r="G5" i="23"/>
  <c r="F5" i="23"/>
  <c r="E5" i="23"/>
  <c r="D5" i="23"/>
  <c r="C5" i="23"/>
  <c r="B5" i="23"/>
  <c r="L4" i="23"/>
  <c r="K4" i="23"/>
  <c r="J4" i="23"/>
  <c r="I4" i="23"/>
  <c r="H4" i="23"/>
  <c r="G4" i="23"/>
  <c r="F4" i="23"/>
  <c r="E4" i="23"/>
  <c r="D4" i="23"/>
  <c r="C4" i="23"/>
  <c r="B4" i="23"/>
  <c r="L3" i="23"/>
  <c r="K3" i="23"/>
  <c r="J3" i="23"/>
  <c r="I3" i="23"/>
  <c r="H3" i="23"/>
  <c r="G3" i="23"/>
  <c r="F3" i="23"/>
  <c r="E3" i="23"/>
  <c r="D3" i="23"/>
  <c r="C3" i="23"/>
  <c r="B3" i="23"/>
  <c r="L2" i="23"/>
  <c r="K2" i="23"/>
  <c r="J2" i="23"/>
  <c r="I2" i="23"/>
  <c r="H2" i="23"/>
  <c r="G2" i="23"/>
  <c r="F2" i="23"/>
  <c r="E2" i="23"/>
  <c r="D2" i="23"/>
  <c r="C2" i="23"/>
  <c r="B2" i="23"/>
  <c r="L9" i="22"/>
  <c r="K9" i="22"/>
  <c r="J9" i="22"/>
  <c r="I9" i="22"/>
  <c r="H9" i="22"/>
  <c r="G9" i="22"/>
  <c r="F9" i="22"/>
  <c r="E9" i="22"/>
  <c r="D9" i="22"/>
  <c r="C9" i="22"/>
  <c r="B9" i="22"/>
  <c r="L8" i="22"/>
  <c r="K8" i="22"/>
  <c r="J8" i="22"/>
  <c r="I8" i="22"/>
  <c r="H8" i="22"/>
  <c r="G8" i="22"/>
  <c r="F8" i="22"/>
  <c r="E8" i="22"/>
  <c r="D8" i="22"/>
  <c r="C8" i="22"/>
  <c r="B8" i="22"/>
  <c r="L7" i="22"/>
  <c r="K7" i="22"/>
  <c r="J7" i="22"/>
  <c r="I7" i="22"/>
  <c r="H7" i="22"/>
  <c r="G7" i="22"/>
  <c r="F7" i="22"/>
  <c r="E7" i="22"/>
  <c r="D7" i="22"/>
  <c r="C7" i="22"/>
  <c r="B7" i="22"/>
  <c r="L6" i="22"/>
  <c r="K6" i="22"/>
  <c r="J6" i="22"/>
  <c r="I6" i="22"/>
  <c r="H6" i="22"/>
  <c r="G6" i="22"/>
  <c r="F6" i="22"/>
  <c r="E6" i="22"/>
  <c r="D6" i="22"/>
  <c r="C6" i="22"/>
  <c r="B6" i="22"/>
  <c r="L4" i="22"/>
  <c r="K4" i="22"/>
  <c r="J4" i="22"/>
  <c r="I4" i="22"/>
  <c r="H4" i="22"/>
  <c r="G4" i="22"/>
  <c r="F4" i="22"/>
  <c r="E4" i="22"/>
  <c r="D4" i="22"/>
  <c r="C4" i="22"/>
  <c r="B4" i="22"/>
  <c r="L3" i="22"/>
  <c r="K3" i="22"/>
  <c r="J3" i="22"/>
  <c r="I3" i="22"/>
  <c r="H3" i="22"/>
  <c r="G3" i="22"/>
  <c r="F3" i="22"/>
  <c r="E3" i="22"/>
  <c r="D3" i="22"/>
  <c r="C3" i="22"/>
  <c r="B3" i="22"/>
  <c r="L2" i="22"/>
  <c r="K2" i="22"/>
  <c r="J2" i="22"/>
  <c r="I2" i="22"/>
  <c r="H2" i="22"/>
  <c r="G2" i="22"/>
  <c r="F2" i="22"/>
  <c r="E2" i="22"/>
  <c r="D2" i="22"/>
  <c r="C2" i="22"/>
  <c r="B2" i="22"/>
  <c r="L7" i="21"/>
  <c r="K7" i="21"/>
  <c r="J7" i="21"/>
  <c r="I7" i="21"/>
  <c r="H7" i="21"/>
  <c r="G7" i="21"/>
  <c r="F7" i="21"/>
  <c r="E7" i="21"/>
  <c r="D7" i="21"/>
  <c r="C7" i="21"/>
  <c r="B7" i="21"/>
  <c r="L6" i="21"/>
  <c r="K6" i="21"/>
  <c r="J6" i="21"/>
  <c r="I6" i="21"/>
  <c r="H6" i="21"/>
  <c r="G6" i="21"/>
  <c r="F6" i="21"/>
  <c r="E6" i="21"/>
  <c r="D6" i="21"/>
  <c r="C6" i="21"/>
  <c r="B6" i="21"/>
  <c r="L5" i="21"/>
  <c r="K5" i="21"/>
  <c r="J5" i="21"/>
  <c r="I5" i="21"/>
  <c r="H5" i="21"/>
  <c r="G5" i="21"/>
  <c r="F5" i="21"/>
  <c r="E5" i="21"/>
  <c r="D5" i="21"/>
  <c r="C5" i="21"/>
  <c r="B5" i="21"/>
  <c r="L4" i="21"/>
  <c r="K4" i="21"/>
  <c r="J4" i="21"/>
  <c r="I4" i="21"/>
  <c r="H4" i="21"/>
  <c r="G4" i="21"/>
  <c r="F4" i="21"/>
  <c r="E4" i="21"/>
  <c r="D4" i="21"/>
  <c r="C4" i="21"/>
  <c r="B4" i="21"/>
  <c r="L3" i="21"/>
  <c r="K3" i="21"/>
  <c r="J3" i="21"/>
  <c r="I3" i="21"/>
  <c r="H3" i="21"/>
  <c r="G3" i="21"/>
  <c r="F3" i="21"/>
  <c r="E3" i="21"/>
  <c r="D3" i="21"/>
  <c r="C3" i="21"/>
  <c r="B3" i="21"/>
  <c r="L2" i="21"/>
  <c r="K2" i="21"/>
  <c r="J2" i="21"/>
  <c r="I2" i="21"/>
  <c r="H2" i="21"/>
  <c r="H9" i="21" s="1"/>
  <c r="G2" i="21"/>
  <c r="F2" i="21"/>
  <c r="E2" i="21"/>
  <c r="D2" i="21"/>
  <c r="D9" i="21" s="1"/>
  <c r="C2" i="21"/>
  <c r="B2" i="21"/>
  <c r="L9" i="20"/>
  <c r="K9" i="20"/>
  <c r="J9" i="20"/>
  <c r="I9" i="20"/>
  <c r="H9" i="20"/>
  <c r="G9" i="20"/>
  <c r="F9" i="20"/>
  <c r="E9" i="20"/>
  <c r="D9" i="20"/>
  <c r="C9" i="20"/>
  <c r="B9" i="20"/>
  <c r="L8" i="20"/>
  <c r="K8" i="20"/>
  <c r="J8" i="20"/>
  <c r="I8" i="20"/>
  <c r="H8" i="20"/>
  <c r="G8" i="20"/>
  <c r="F8" i="20"/>
  <c r="E8" i="20"/>
  <c r="D8" i="20"/>
  <c r="C8" i="20"/>
  <c r="B8" i="20"/>
  <c r="L7" i="20"/>
  <c r="K7" i="20"/>
  <c r="J7" i="20"/>
  <c r="I7" i="20"/>
  <c r="H7" i="20"/>
  <c r="G7" i="20"/>
  <c r="F7" i="20"/>
  <c r="E7" i="20"/>
  <c r="D7" i="20"/>
  <c r="C7" i="20"/>
  <c r="B7" i="20"/>
  <c r="L6" i="20"/>
  <c r="K6" i="20"/>
  <c r="J6" i="20"/>
  <c r="I6" i="20"/>
  <c r="H6" i="20"/>
  <c r="G6" i="20"/>
  <c r="F6" i="20"/>
  <c r="E6" i="20"/>
  <c r="D6" i="20"/>
  <c r="C6" i="20"/>
  <c r="B6" i="20"/>
  <c r="L4" i="20"/>
  <c r="K4" i="20"/>
  <c r="J4" i="20"/>
  <c r="I4" i="20"/>
  <c r="H4" i="20"/>
  <c r="G4" i="20"/>
  <c r="F4" i="20"/>
  <c r="E4" i="20"/>
  <c r="D4" i="20"/>
  <c r="C4" i="20"/>
  <c r="B4" i="20"/>
  <c r="L3" i="20"/>
  <c r="K3" i="20"/>
  <c r="J3" i="20"/>
  <c r="I3" i="20"/>
  <c r="H3" i="20"/>
  <c r="G3" i="20"/>
  <c r="F3" i="20"/>
  <c r="E3" i="20"/>
  <c r="D3" i="20"/>
  <c r="C3" i="20"/>
  <c r="B3" i="20"/>
  <c r="L2" i="20"/>
  <c r="K2" i="20"/>
  <c r="J2" i="20"/>
  <c r="I2" i="20"/>
  <c r="H2" i="20"/>
  <c r="G2" i="20"/>
  <c r="F2" i="20"/>
  <c r="E2" i="20"/>
  <c r="D2" i="20"/>
  <c r="C2" i="20"/>
  <c r="B2" i="20"/>
  <c r="U11" i="19"/>
  <c r="U12" i="19"/>
  <c r="U13" i="19"/>
  <c r="U14" i="19"/>
  <c r="U15" i="19"/>
  <c r="U16" i="19"/>
  <c r="U17" i="19"/>
  <c r="U10" i="19"/>
  <c r="V11" i="19"/>
  <c r="V12" i="19"/>
  <c r="V13" i="19"/>
  <c r="V14" i="19"/>
  <c r="V15" i="19"/>
  <c r="V16" i="19"/>
  <c r="V17" i="19"/>
  <c r="V10" i="19"/>
  <c r="C11" i="19"/>
  <c r="C12" i="19"/>
  <c r="C13" i="19"/>
  <c r="C14" i="19"/>
  <c r="C15" i="19"/>
  <c r="C16" i="19"/>
  <c r="C17" i="19"/>
  <c r="C10" i="19"/>
  <c r="E10" i="19"/>
  <c r="F10" i="19"/>
  <c r="G10" i="19"/>
  <c r="H10" i="19"/>
  <c r="I10" i="19"/>
  <c r="J10" i="19"/>
  <c r="K10" i="19"/>
  <c r="L10" i="19"/>
  <c r="M10" i="19"/>
  <c r="N10" i="19"/>
  <c r="O10" i="19"/>
  <c r="P10" i="19"/>
  <c r="Q10" i="19"/>
  <c r="R10" i="19"/>
  <c r="S10" i="19"/>
  <c r="T10" i="19"/>
  <c r="E11" i="19"/>
  <c r="F11" i="19"/>
  <c r="G11" i="19"/>
  <c r="H11" i="19"/>
  <c r="I11" i="19"/>
  <c r="J11" i="19"/>
  <c r="K11" i="19"/>
  <c r="L11" i="19"/>
  <c r="M11" i="19"/>
  <c r="N11" i="19"/>
  <c r="O11" i="19"/>
  <c r="P11" i="19"/>
  <c r="Q11" i="19"/>
  <c r="R11" i="19"/>
  <c r="S11" i="19"/>
  <c r="T11" i="19"/>
  <c r="E12" i="19"/>
  <c r="F12" i="19"/>
  <c r="G12" i="19"/>
  <c r="H12" i="19"/>
  <c r="I12" i="19"/>
  <c r="J12" i="19"/>
  <c r="K12" i="19"/>
  <c r="L12" i="19"/>
  <c r="M12" i="19"/>
  <c r="N12" i="19"/>
  <c r="O12" i="19"/>
  <c r="P12" i="19"/>
  <c r="Q12" i="19"/>
  <c r="R12" i="19"/>
  <c r="S12" i="19"/>
  <c r="T12" i="19"/>
  <c r="E13" i="19"/>
  <c r="F13" i="19"/>
  <c r="G13" i="19"/>
  <c r="H13" i="19"/>
  <c r="I13" i="19"/>
  <c r="J13" i="19"/>
  <c r="K13" i="19"/>
  <c r="L13" i="19"/>
  <c r="M13" i="19"/>
  <c r="N13" i="19"/>
  <c r="O13" i="19"/>
  <c r="P13" i="19"/>
  <c r="Q13" i="19"/>
  <c r="R13" i="19"/>
  <c r="S13" i="19"/>
  <c r="T13" i="19"/>
  <c r="E14" i="19"/>
  <c r="F14" i="19"/>
  <c r="G14" i="19"/>
  <c r="H14" i="19"/>
  <c r="I14" i="19"/>
  <c r="J14" i="19"/>
  <c r="K14" i="19"/>
  <c r="L14" i="19"/>
  <c r="M14" i="19"/>
  <c r="N14" i="19"/>
  <c r="O14" i="19"/>
  <c r="P14" i="19"/>
  <c r="Q14" i="19"/>
  <c r="R14" i="19"/>
  <c r="S14" i="19"/>
  <c r="T14" i="19"/>
  <c r="E15" i="19"/>
  <c r="F15" i="19"/>
  <c r="G15" i="19"/>
  <c r="H15" i="19"/>
  <c r="I15" i="19"/>
  <c r="J15" i="19"/>
  <c r="K15" i="19"/>
  <c r="L15" i="19"/>
  <c r="M15" i="19"/>
  <c r="N15" i="19"/>
  <c r="O15" i="19"/>
  <c r="P15" i="19"/>
  <c r="Q15" i="19"/>
  <c r="R15" i="19"/>
  <c r="S15" i="19"/>
  <c r="T15" i="19"/>
  <c r="E16" i="19"/>
  <c r="F16" i="19"/>
  <c r="G16" i="19"/>
  <c r="H16" i="19"/>
  <c r="I16" i="19"/>
  <c r="J16" i="19"/>
  <c r="K16" i="19"/>
  <c r="L16" i="19"/>
  <c r="M16" i="19"/>
  <c r="N16" i="19"/>
  <c r="O16" i="19"/>
  <c r="P16" i="19"/>
  <c r="Q16" i="19"/>
  <c r="R16" i="19"/>
  <c r="S16" i="19"/>
  <c r="T16" i="19"/>
  <c r="E17" i="19"/>
  <c r="F17" i="19"/>
  <c r="G17" i="19"/>
  <c r="H17" i="19"/>
  <c r="I17" i="19"/>
  <c r="J17" i="19"/>
  <c r="K17" i="19"/>
  <c r="L17" i="19"/>
  <c r="M17" i="19"/>
  <c r="N17" i="19"/>
  <c r="O17" i="19"/>
  <c r="P17" i="19"/>
  <c r="Q17" i="19"/>
  <c r="R17" i="19"/>
  <c r="S17" i="19"/>
  <c r="T17" i="19"/>
  <c r="D11" i="19"/>
  <c r="D12" i="19"/>
  <c r="D13" i="19"/>
  <c r="D14" i="19"/>
  <c r="D15" i="19"/>
  <c r="D16" i="19"/>
  <c r="D17" i="19"/>
  <c r="D10" i="19"/>
  <c r="U584" i="19"/>
  <c r="V584" i="19"/>
  <c r="D584" i="19"/>
  <c r="E584" i="19"/>
  <c r="F584" i="19"/>
  <c r="G584" i="19"/>
  <c r="H584" i="19"/>
  <c r="I584" i="19"/>
  <c r="J584" i="19"/>
  <c r="K584" i="19"/>
  <c r="L584" i="19"/>
  <c r="M584" i="19"/>
  <c r="N584" i="19"/>
  <c r="O584" i="19"/>
  <c r="P584" i="19"/>
  <c r="Q584" i="19"/>
  <c r="R584" i="19"/>
  <c r="S584" i="19"/>
  <c r="T584" i="19"/>
  <c r="C584" i="19"/>
  <c r="F5" i="22" l="1"/>
  <c r="J5" i="22"/>
  <c r="G5" i="22"/>
  <c r="B5" i="22"/>
  <c r="C5" i="22"/>
  <c r="K5" i="22"/>
  <c r="E5" i="22"/>
  <c r="I5" i="22"/>
  <c r="L5" i="22"/>
  <c r="D5" i="22"/>
  <c r="H5" i="22"/>
  <c r="J5" i="20"/>
  <c r="J11" i="20" s="1"/>
  <c r="B5" i="20"/>
  <c r="C5" i="20"/>
  <c r="C11" i="20" s="1"/>
  <c r="K5" i="20"/>
  <c r="K11" i="20" s="1"/>
  <c r="E9" i="21"/>
  <c r="I9" i="21"/>
  <c r="F5" i="20"/>
  <c r="G5" i="20"/>
  <c r="B9" i="21"/>
  <c r="F9" i="21"/>
  <c r="J9" i="21"/>
  <c r="E5" i="20"/>
  <c r="E11" i="20" s="1"/>
  <c r="I5" i="20"/>
  <c r="I11" i="20" s="1"/>
  <c r="C9" i="21"/>
  <c r="K9" i="21"/>
  <c r="D5" i="20"/>
  <c r="D11" i="20" s="1"/>
  <c r="H5" i="20"/>
  <c r="L5" i="20"/>
  <c r="B11" i="20"/>
  <c r="F11" i="20"/>
  <c r="H11" i="20"/>
  <c r="C213" i="2"/>
  <c r="C8" i="23" s="1"/>
  <c r="C9" i="23" s="1"/>
  <c r="D213" i="2"/>
  <c r="D8" i="23" s="1"/>
  <c r="D9" i="23" s="1"/>
  <c r="E213" i="2"/>
  <c r="E10" i="22" s="1"/>
  <c r="E11" i="22" s="1"/>
  <c r="F213" i="2"/>
  <c r="F10" i="22" s="1"/>
  <c r="F11" i="22" s="1"/>
  <c r="G213" i="2"/>
  <c r="H213" i="2"/>
  <c r="H10" i="22" s="1"/>
  <c r="H11" i="22" s="1"/>
  <c r="I213" i="2"/>
  <c r="I10" i="22" s="1"/>
  <c r="I11" i="22" s="1"/>
  <c r="J213" i="2"/>
  <c r="J8" i="23" s="1"/>
  <c r="J9" i="23" s="1"/>
  <c r="K213" i="2"/>
  <c r="K10" i="22" s="1"/>
  <c r="K11" i="22" s="1"/>
  <c r="L213" i="2"/>
  <c r="L10" i="22" s="1"/>
  <c r="B213" i="2"/>
  <c r="B10" i="22" s="1"/>
  <c r="B11" i="22" s="1"/>
  <c r="G10" i="22" l="1"/>
  <c r="G11" i="22" s="1"/>
  <c r="I8" i="23"/>
  <c r="I9" i="23" s="1"/>
  <c r="H8" i="23"/>
  <c r="H9" i="23" s="1"/>
  <c r="K8" i="23"/>
  <c r="K9" i="23" s="1"/>
  <c r="B8" i="23"/>
  <c r="B9" i="23" s="1"/>
  <c r="G8" i="23"/>
  <c r="G9" i="23" s="1"/>
  <c r="E8" i="23"/>
  <c r="E9" i="23" s="1"/>
  <c r="J10" i="22"/>
  <c r="J11" i="22" s="1"/>
  <c r="C10" i="22"/>
  <c r="C11" i="22" s="1"/>
  <c r="L8" i="23"/>
  <c r="L9" i="23" s="1"/>
  <c r="F8" i="23"/>
  <c r="F9" i="23" s="1"/>
  <c r="D10" i="22"/>
  <c r="D11" i="22" s="1"/>
  <c r="L11" i="22"/>
  <c r="C188" i="1"/>
  <c r="C8" i="21" s="1"/>
  <c r="D188" i="1"/>
  <c r="E188" i="1"/>
  <c r="F188" i="1"/>
  <c r="G188" i="1"/>
  <c r="H188" i="1"/>
  <c r="H8" i="21" s="1"/>
  <c r="I188" i="1"/>
  <c r="I8" i="21" s="1"/>
  <c r="J188" i="1"/>
  <c r="K188" i="1"/>
  <c r="L188" i="1"/>
  <c r="M188" i="1"/>
  <c r="B188" i="1"/>
  <c r="B8" i="21" s="1"/>
  <c r="L10" i="20" l="1"/>
  <c r="L11" i="20" s="1"/>
  <c r="L8" i="21"/>
  <c r="L9" i="21" s="1"/>
  <c r="D10" i="20"/>
  <c r="D8" i="21"/>
  <c r="K10" i="20"/>
  <c r="K8" i="21"/>
  <c r="G10" i="20"/>
  <c r="G11" i="20" s="1"/>
  <c r="G8" i="21"/>
  <c r="G9" i="21" s="1"/>
  <c r="J10" i="20"/>
  <c r="J8" i="21"/>
  <c r="F10" i="20"/>
  <c r="F8" i="21"/>
  <c r="E10" i="20"/>
  <c r="E8" i="21"/>
  <c r="B10" i="20"/>
  <c r="I10" i="20"/>
  <c r="C10" i="20"/>
  <c r="H10" i="20"/>
</calcChain>
</file>

<file path=xl/sharedStrings.xml><?xml version="1.0" encoding="utf-8"?>
<sst xmlns="http://schemas.openxmlformats.org/spreadsheetml/2006/main" count="3485" uniqueCount="615">
  <si>
    <t>All data are provisional and subject to change.</t>
  </si>
  <si>
    <t>Population statistics available at:</t>
  </si>
  <si>
    <t>https://www.unhcr.org/refugee-statistics/</t>
  </si>
  <si>
    <t>Solutions statistics available at:</t>
  </si>
  <si>
    <t>Small values between zero and five have been rounded to multiples of five. A dash ("-") indicates that the value is zero, not available or not applicable.</t>
  </si>
  <si>
    <t>REFUGEES</t>
  </si>
  <si>
    <r>
      <t>Country/territory of asylum</t>
    </r>
    <r>
      <rPr>
        <vertAlign val="superscript"/>
        <sz val="10"/>
        <color theme="0"/>
        <rFont val="Arial"/>
        <family val="2"/>
      </rPr>
      <t>1</t>
    </r>
  </si>
  <si>
    <t>Total refugees and people in refugee-like situations</t>
  </si>
  <si>
    <r>
      <t>Asylum-seekers (pending cases)</t>
    </r>
    <r>
      <rPr>
        <vertAlign val="superscript"/>
        <sz val="10"/>
        <color theme="0"/>
        <rFont val="Arial"/>
        <family val="2"/>
      </rPr>
      <t>4</t>
    </r>
  </si>
  <si>
    <r>
      <t>Other people in need of international protection</t>
    </r>
    <r>
      <rPr>
        <vertAlign val="superscript"/>
        <sz val="10"/>
        <color theme="0"/>
        <rFont val="Arial"/>
        <family val="2"/>
      </rPr>
      <t>5</t>
    </r>
  </si>
  <si>
    <r>
      <t>IDPs of concern to UNHCR</t>
    </r>
    <r>
      <rPr>
        <vertAlign val="superscript"/>
        <sz val="10"/>
        <color theme="0"/>
        <rFont val="Arial"/>
        <family val="2"/>
      </rPr>
      <t>7</t>
    </r>
  </si>
  <si>
    <r>
      <rPr>
        <sz val="10"/>
        <color theme="0"/>
        <rFont val="Arial"/>
        <family val="2"/>
      </rPr>
      <t>Persons under UNHCR's statelessness mandate</t>
    </r>
    <r>
      <rPr>
        <vertAlign val="superscript"/>
        <sz val="10"/>
        <color theme="0"/>
        <rFont val="Arial"/>
        <family val="2"/>
      </rPr>
      <t>9</t>
    </r>
  </si>
  <si>
    <r>
      <t>Others of concern to UNHCR</t>
    </r>
    <r>
      <rPr>
        <vertAlign val="superscript"/>
        <sz val="10"/>
        <color theme="0"/>
        <rFont val="Arial"/>
        <family val="2"/>
      </rPr>
      <t>10</t>
    </r>
  </si>
  <si>
    <t>Total population of concern</t>
  </si>
  <si>
    <t>ISO 3 Code</t>
  </si>
  <si>
    <t>Afghanistan</t>
  </si>
  <si>
    <t>AFG</t>
  </si>
  <si>
    <t>ALB</t>
  </si>
  <si>
    <t>DZA</t>
  </si>
  <si>
    <t>Angola</t>
  </si>
  <si>
    <t>AGO</t>
  </si>
  <si>
    <t>Anguilla</t>
  </si>
  <si>
    <t>AIA</t>
  </si>
  <si>
    <t>Antigua and Barbuda</t>
  </si>
  <si>
    <t>ATG</t>
  </si>
  <si>
    <t>Argentina</t>
  </si>
  <si>
    <t>ARG</t>
  </si>
  <si>
    <t>Armenia</t>
  </si>
  <si>
    <t>ARM</t>
  </si>
  <si>
    <t>Aruba</t>
  </si>
  <si>
    <t>ABW</t>
  </si>
  <si>
    <t>AUS</t>
  </si>
  <si>
    <t>Austria</t>
  </si>
  <si>
    <t>AUT</t>
  </si>
  <si>
    <t>Azerbaijan</t>
  </si>
  <si>
    <t>AZE</t>
  </si>
  <si>
    <t>Bahamas</t>
  </si>
  <si>
    <t>BHS</t>
  </si>
  <si>
    <t>Bahrain</t>
  </si>
  <si>
    <t>BHR</t>
  </si>
  <si>
    <t>Bangladesh</t>
  </si>
  <si>
    <t>BGD</t>
  </si>
  <si>
    <t>Belarus</t>
  </si>
  <si>
    <t>BLR</t>
  </si>
  <si>
    <t>Belgium</t>
  </si>
  <si>
    <t>BEL</t>
  </si>
  <si>
    <t>Belize</t>
  </si>
  <si>
    <t>BLZ</t>
  </si>
  <si>
    <t>Benin</t>
  </si>
  <si>
    <t>BEN</t>
  </si>
  <si>
    <t>BOL</t>
  </si>
  <si>
    <t>Bosnia and Herzegovina</t>
  </si>
  <si>
    <t>BIH</t>
  </si>
  <si>
    <t>Botswana</t>
  </si>
  <si>
    <t>BWA</t>
  </si>
  <si>
    <t>Brazil</t>
  </si>
  <si>
    <t>BRA</t>
  </si>
  <si>
    <t>Brunei Darussalam</t>
  </si>
  <si>
    <t>BRN</t>
  </si>
  <si>
    <t>BGR</t>
  </si>
  <si>
    <t>Burkina Faso</t>
  </si>
  <si>
    <t>BFA</t>
  </si>
  <si>
    <t>Burundi</t>
  </si>
  <si>
    <t>BDI</t>
  </si>
  <si>
    <t>Cabo Verde</t>
  </si>
  <si>
    <t>CPV</t>
  </si>
  <si>
    <t>Cambodia</t>
  </si>
  <si>
    <t>KHM</t>
  </si>
  <si>
    <t>Cameroon</t>
  </si>
  <si>
    <t>CMR</t>
  </si>
  <si>
    <t>CAN</t>
  </si>
  <si>
    <t>Cayman Islands</t>
  </si>
  <si>
    <t>CYM</t>
  </si>
  <si>
    <t>Central African Rep.</t>
  </si>
  <si>
    <t>CAF</t>
  </si>
  <si>
    <t>Chad</t>
  </si>
  <si>
    <t>TCD</t>
  </si>
  <si>
    <t>CHL</t>
  </si>
  <si>
    <t>China, Hong Kong SAR</t>
  </si>
  <si>
    <t>HKG</t>
  </si>
  <si>
    <t>CHN</t>
  </si>
  <si>
    <t>COL</t>
  </si>
  <si>
    <t>Comoros</t>
  </si>
  <si>
    <t>COM</t>
  </si>
  <si>
    <t>Congo, Republic of</t>
  </si>
  <si>
    <t>COG</t>
  </si>
  <si>
    <t>CRI</t>
  </si>
  <si>
    <t>CIV</t>
  </si>
  <si>
    <t>Croatia</t>
  </si>
  <si>
    <t>HRV</t>
  </si>
  <si>
    <t>Cuba</t>
  </si>
  <si>
    <t>CUB</t>
  </si>
  <si>
    <t>Curaçao</t>
  </si>
  <si>
    <t>CUW</t>
  </si>
  <si>
    <t>Cyprus</t>
  </si>
  <si>
    <t>CYP</t>
  </si>
  <si>
    <t>Czechia</t>
  </si>
  <si>
    <t>CZE</t>
  </si>
  <si>
    <t>COD</t>
  </si>
  <si>
    <t>Denmark</t>
  </si>
  <si>
    <t>DNK</t>
  </si>
  <si>
    <t>Djibouti</t>
  </si>
  <si>
    <t>DJI</t>
  </si>
  <si>
    <t>DOM</t>
  </si>
  <si>
    <t>Ecuador</t>
  </si>
  <si>
    <t>ECU</t>
  </si>
  <si>
    <t>Egypt</t>
  </si>
  <si>
    <t>EGY</t>
  </si>
  <si>
    <t>El Salvador</t>
  </si>
  <si>
    <t>SLV</t>
  </si>
  <si>
    <t>Eritrea</t>
  </si>
  <si>
    <t>ERI</t>
  </si>
  <si>
    <t>EST</t>
  </si>
  <si>
    <t>Eswatini</t>
  </si>
  <si>
    <t>SWZ</t>
  </si>
  <si>
    <t>Ethiopia</t>
  </si>
  <si>
    <t>ETH</t>
  </si>
  <si>
    <t>Fiji</t>
  </si>
  <si>
    <t>FJI</t>
  </si>
  <si>
    <t>Finland</t>
  </si>
  <si>
    <t>FIN</t>
  </si>
  <si>
    <t>France</t>
  </si>
  <si>
    <t>FRA</t>
  </si>
  <si>
    <t>Gabon</t>
  </si>
  <si>
    <t>GAB</t>
  </si>
  <si>
    <t>Gambia</t>
  </si>
  <si>
    <t>GMB</t>
  </si>
  <si>
    <t>Georgia</t>
  </si>
  <si>
    <t>GEO</t>
  </si>
  <si>
    <t>Germany</t>
  </si>
  <si>
    <t>DEU</t>
  </si>
  <si>
    <t>Ghana</t>
  </si>
  <si>
    <t>GHA</t>
  </si>
  <si>
    <t>Greece</t>
  </si>
  <si>
    <t>GRC</t>
  </si>
  <si>
    <t>Grenada</t>
  </si>
  <si>
    <t>GRD</t>
  </si>
  <si>
    <t>Guatemala</t>
  </si>
  <si>
    <t>GTM</t>
  </si>
  <si>
    <t>Guinea</t>
  </si>
  <si>
    <t>GIN</t>
  </si>
  <si>
    <t>Guinea-Bissau</t>
  </si>
  <si>
    <t>GNB</t>
  </si>
  <si>
    <t>Guyana</t>
  </si>
  <si>
    <t>GUY</t>
  </si>
  <si>
    <t>Honduras</t>
  </si>
  <si>
    <t>HND</t>
  </si>
  <si>
    <t>Hungary</t>
  </si>
  <si>
    <t>HUN</t>
  </si>
  <si>
    <t>Iceland</t>
  </si>
  <si>
    <t>ISL</t>
  </si>
  <si>
    <t>India</t>
  </si>
  <si>
    <t>IND</t>
  </si>
  <si>
    <t>IDN</t>
  </si>
  <si>
    <t>IRN</t>
  </si>
  <si>
    <t>IRQ</t>
  </si>
  <si>
    <t>Ireland</t>
  </si>
  <si>
    <t>IRL</t>
  </si>
  <si>
    <t>Israel</t>
  </si>
  <si>
    <t>ISR</t>
  </si>
  <si>
    <t>Italy</t>
  </si>
  <si>
    <t>ITA</t>
  </si>
  <si>
    <t>Jamaica</t>
  </si>
  <si>
    <t>JAM</t>
  </si>
  <si>
    <t>JPN</t>
  </si>
  <si>
    <t>JOR</t>
  </si>
  <si>
    <t>Kazakhstan</t>
  </si>
  <si>
    <t>KAZ</t>
  </si>
  <si>
    <t>Kenya</t>
  </si>
  <si>
    <t>KEN</t>
  </si>
  <si>
    <t>Kuwait</t>
  </si>
  <si>
    <t>KWT</t>
  </si>
  <si>
    <t>Kyrgyzstan</t>
  </si>
  <si>
    <t>KGZ</t>
  </si>
  <si>
    <t>LVA</t>
  </si>
  <si>
    <t>Lebanon</t>
  </si>
  <si>
    <t>LBN</t>
  </si>
  <si>
    <t>Lesotho</t>
  </si>
  <si>
    <t>LSO</t>
  </si>
  <si>
    <t>Liberia</t>
  </si>
  <si>
    <t>LBR</t>
  </si>
  <si>
    <t>Libya</t>
  </si>
  <si>
    <t>LBY</t>
  </si>
  <si>
    <t>Liechtenstein</t>
  </si>
  <si>
    <t>LIE</t>
  </si>
  <si>
    <t>Lithuania</t>
  </si>
  <si>
    <t>LTU</t>
  </si>
  <si>
    <t>Luxembourg</t>
  </si>
  <si>
    <t>LUX</t>
  </si>
  <si>
    <t>Madagascar</t>
  </si>
  <si>
    <t>MDG</t>
  </si>
  <si>
    <t>Malawi</t>
  </si>
  <si>
    <t>MWI</t>
  </si>
  <si>
    <t>MYS</t>
  </si>
  <si>
    <t>Mali</t>
  </si>
  <si>
    <t>MLI</t>
  </si>
  <si>
    <t>Malta</t>
  </si>
  <si>
    <t>MLT</t>
  </si>
  <si>
    <t>Mauritania</t>
  </si>
  <si>
    <t>MRT</t>
  </si>
  <si>
    <t>MEX</t>
  </si>
  <si>
    <t>MCO</t>
  </si>
  <si>
    <t>Mongolia</t>
  </si>
  <si>
    <t>MNG</t>
  </si>
  <si>
    <t>Montenegro</t>
  </si>
  <si>
    <t>MNE</t>
  </si>
  <si>
    <t>Morocco</t>
  </si>
  <si>
    <t>MAR</t>
  </si>
  <si>
    <t>Mozambique</t>
  </si>
  <si>
    <t>MOZ</t>
  </si>
  <si>
    <t>MMR</t>
  </si>
  <si>
    <t>Namibia</t>
  </si>
  <si>
    <t>NAM</t>
  </si>
  <si>
    <t>Nauru</t>
  </si>
  <si>
    <t>NRU</t>
  </si>
  <si>
    <t>NPL</t>
  </si>
  <si>
    <t>NLD</t>
  </si>
  <si>
    <t>New Zealand</t>
  </si>
  <si>
    <t>NZL</t>
  </si>
  <si>
    <t>Nicaragua</t>
  </si>
  <si>
    <t>NIC</t>
  </si>
  <si>
    <t>Niger</t>
  </si>
  <si>
    <t>NER</t>
  </si>
  <si>
    <t>Nigeria</t>
  </si>
  <si>
    <t>NGA</t>
  </si>
  <si>
    <t>North Macedonia</t>
  </si>
  <si>
    <t>MKD</t>
  </si>
  <si>
    <t>Norway</t>
  </si>
  <si>
    <t>NOR</t>
  </si>
  <si>
    <t>Oman</t>
  </si>
  <si>
    <t>OMN</t>
  </si>
  <si>
    <t>PAK</t>
  </si>
  <si>
    <t>Panama</t>
  </si>
  <si>
    <t>PAN</t>
  </si>
  <si>
    <t>Papua New Guinea</t>
  </si>
  <si>
    <t>PNG</t>
  </si>
  <si>
    <t>Paraguay</t>
  </si>
  <si>
    <t>PRY</t>
  </si>
  <si>
    <t>Peru</t>
  </si>
  <si>
    <t>PER</t>
  </si>
  <si>
    <t>Philippines</t>
  </si>
  <si>
    <t>PHL</t>
  </si>
  <si>
    <t>Poland</t>
  </si>
  <si>
    <t>POL</t>
  </si>
  <si>
    <t>Portugal</t>
  </si>
  <si>
    <t>PRT</t>
  </si>
  <si>
    <t>Qatar</t>
  </si>
  <si>
    <t>QAT</t>
  </si>
  <si>
    <t>Rep. of Korea</t>
  </si>
  <si>
    <t>KOR</t>
  </si>
  <si>
    <t>Rep. of Moldova</t>
  </si>
  <si>
    <t>MDA</t>
  </si>
  <si>
    <t>Romania</t>
  </si>
  <si>
    <t>ROU</t>
  </si>
  <si>
    <t>RUS</t>
  </si>
  <si>
    <t>RWA</t>
  </si>
  <si>
    <t>Saint Kitts and Nevis</t>
  </si>
  <si>
    <t>KNA</t>
  </si>
  <si>
    <t>Saint Vincent and the Grenadines</t>
  </si>
  <si>
    <t>VCT</t>
  </si>
  <si>
    <t>SAU</t>
  </si>
  <si>
    <t>Senegal</t>
  </si>
  <si>
    <t>SEN</t>
  </si>
  <si>
    <t>Serbia and Kosovo: S/RES/1244 (1999)</t>
  </si>
  <si>
    <t>SRB</t>
  </si>
  <si>
    <t>Sierra Leone</t>
  </si>
  <si>
    <t>SLE</t>
  </si>
  <si>
    <t>Singapore</t>
  </si>
  <si>
    <t>SGP</t>
  </si>
  <si>
    <t>Sint Maarten (Dutch part)</t>
  </si>
  <si>
    <t>SXM</t>
  </si>
  <si>
    <t>Slovakia</t>
  </si>
  <si>
    <t>SVK</t>
  </si>
  <si>
    <t>Slovenia</t>
  </si>
  <si>
    <t>SVN</t>
  </si>
  <si>
    <t>Solomon Islands</t>
  </si>
  <si>
    <t>SLB</t>
  </si>
  <si>
    <t>Somalia</t>
  </si>
  <si>
    <t>SOM</t>
  </si>
  <si>
    <t>ZAF</t>
  </si>
  <si>
    <t>South Sudan</t>
  </si>
  <si>
    <t>SSD</t>
  </si>
  <si>
    <t>ESP</t>
  </si>
  <si>
    <t>Sri Lanka</t>
  </si>
  <si>
    <t>LKA</t>
  </si>
  <si>
    <t>Sudan</t>
  </si>
  <si>
    <t>SDN</t>
  </si>
  <si>
    <t>Suriname</t>
  </si>
  <si>
    <t>SUR</t>
  </si>
  <si>
    <t>Sweden</t>
  </si>
  <si>
    <t>SWE</t>
  </si>
  <si>
    <t>Switzerland</t>
  </si>
  <si>
    <t>CHE</t>
  </si>
  <si>
    <t>SYR</t>
  </si>
  <si>
    <t>Tajikistan</t>
  </si>
  <si>
    <t>TJK</t>
  </si>
  <si>
    <t>THA</t>
  </si>
  <si>
    <t>Togo</t>
  </si>
  <si>
    <t>TGO</t>
  </si>
  <si>
    <t>Trinidad and Tobago</t>
  </si>
  <si>
    <t>TTO</t>
  </si>
  <si>
    <t>Tunisia</t>
  </si>
  <si>
    <t>TUN</t>
  </si>
  <si>
    <t>Türkiye</t>
  </si>
  <si>
    <t>TUR</t>
  </si>
  <si>
    <t>TKM</t>
  </si>
  <si>
    <t>Turks and Caicos Islands</t>
  </si>
  <si>
    <t>TCA</t>
  </si>
  <si>
    <t>UGA</t>
  </si>
  <si>
    <t>UKR</t>
  </si>
  <si>
    <t>United Arab Emirates</t>
  </si>
  <si>
    <t>ARE</t>
  </si>
  <si>
    <t>GBR</t>
  </si>
  <si>
    <t>United Rep. of Tanzania</t>
  </si>
  <si>
    <t>TZA</t>
  </si>
  <si>
    <t>USA</t>
  </si>
  <si>
    <t>Uruguay</t>
  </si>
  <si>
    <t>URY</t>
  </si>
  <si>
    <t>UZB</t>
  </si>
  <si>
    <t>Venezuela (Bolivarian Republic of)</t>
  </si>
  <si>
    <t>VEN</t>
  </si>
  <si>
    <t>Viet Nam</t>
  </si>
  <si>
    <t>VNM</t>
  </si>
  <si>
    <t>Western Sahara</t>
  </si>
  <si>
    <t>ESH</t>
  </si>
  <si>
    <t>Yemen</t>
  </si>
  <si>
    <t>YEM</t>
  </si>
  <si>
    <t>Zambia</t>
  </si>
  <si>
    <t>ZMB</t>
  </si>
  <si>
    <t>Zimbabwe</t>
  </si>
  <si>
    <t>ZWE</t>
  </si>
  <si>
    <t>Total</t>
  </si>
  <si>
    <t>UNHCR Bureaus</t>
  </si>
  <si>
    <t>East and Horn of Africa, and Great Lakes</t>
  </si>
  <si>
    <t>Southern Africa</t>
  </si>
  <si>
    <t>West and Central Africa</t>
  </si>
  <si>
    <t>Sub-Saharan Africa</t>
  </si>
  <si>
    <t>Americas</t>
  </si>
  <si>
    <t>.</t>
  </si>
  <si>
    <t>Asia and the Pacific</t>
  </si>
  <si>
    <t>Europe</t>
  </si>
  <si>
    <t>Middle East and North Africa</t>
  </si>
  <si>
    <t>UN major regions</t>
  </si>
  <si>
    <t>Africa</t>
  </si>
  <si>
    <t>Asia</t>
  </si>
  <si>
    <t>Latin America</t>
  </si>
  <si>
    <t>North America and the Caribbean</t>
  </si>
  <si>
    <t>Oceania</t>
  </si>
  <si>
    <t>Notes</t>
  </si>
  <si>
    <t>The data are generally provided by governments, based on their own definitions and methods of data collection.</t>
  </si>
  <si>
    <r>
      <t xml:space="preserve">1 </t>
    </r>
    <r>
      <rPr>
        <sz val="9"/>
        <rFont val="Arial"/>
        <family val="2"/>
      </rPr>
      <t xml:space="preserve"> Country or territory of asylum or residence.</t>
    </r>
  </si>
  <si>
    <r>
      <t>2</t>
    </r>
    <r>
      <rPr>
        <sz val="9"/>
        <rFont val="Arial"/>
        <family val="2"/>
      </rPr>
      <t xml:space="preserve">  Refugees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In the absence of Government figures, UNHCR has estimated the refugee population in many industrialized countries based on 10 years of individual asylum-seeker recognition.</t>
    </r>
  </si>
  <si>
    <r>
      <t>3</t>
    </r>
    <r>
      <rPr>
        <sz val="9"/>
        <rFont val="Arial"/>
        <family val="2"/>
      </rPr>
      <t xml:space="preserve">  This category is descriptive in nature and includes groups of people who are outside their country or territory of origin and who face protection risks similar to those of refugees, but for whom refugee status has, for practical or other reasons, not been ascertained.</t>
    </r>
  </si>
  <si>
    <r>
      <rPr>
        <vertAlign val="superscript"/>
        <sz val="9"/>
        <rFont val="Arial"/>
        <family val="2"/>
      </rPr>
      <t>5</t>
    </r>
    <r>
      <rPr>
        <sz val="9"/>
        <rFont val="Arial"/>
        <family val="2"/>
      </rPr>
      <t xml:space="preserve"> People who are outside their country or territory of origin, typically because they have been forcibly displaced across international borders, who have not been reported under other categories (asylum seekers, refugees, people in refugee-like situations) but who likely need international protection, including protection against forced return, as well as access to basic services on a temporary or longer-term basis.</t>
    </r>
  </si>
  <si>
    <r>
      <t>6</t>
    </r>
    <r>
      <rPr>
        <sz val="9"/>
        <rFont val="Arial"/>
        <family val="2"/>
      </rPr>
      <t xml:space="preserve">  Refugees who have returned to their place of origin during the reporting year. Source: country of origin and asylum.</t>
    </r>
  </si>
  <si>
    <r>
      <t>7</t>
    </r>
    <r>
      <rPr>
        <sz val="9"/>
        <rFont val="Arial"/>
        <family val="2"/>
      </rPr>
      <t xml:space="preserve">  IDPs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For the purposes of UNHCR’s statistics, this population includes only conflict-generated IDPs to whom the Office extends protection and/or assistance.</t>
    </r>
  </si>
  <si>
    <r>
      <t>8</t>
    </r>
    <r>
      <rPr>
        <sz val="9"/>
        <rFont val="Arial"/>
        <family val="2"/>
      </rPr>
      <t xml:space="preserve">  IDPs of concern to UNHCR who have returned to their place of origin during the reporting year.</t>
    </r>
  </si>
  <si>
    <r>
      <t>9</t>
    </r>
    <r>
      <rPr>
        <sz val="9"/>
        <rFont val="Arial"/>
        <family val="2"/>
      </rPr>
      <t xml:space="preserve">  Refers to persons who are not considered as nationals by any State under the operation of its law. This category refers to persons who fall under the agency’s statelessness mandate because they are stateless according to this international definition, but data from some countries may also include persons with undetermined nationality. The figure reported includes stateless persons who are also refugees or asylum-seekers from Myanmar, IDPs in Myanmar, or others of concern to UNHCR. UNHCR’s statistical reporting generally follows a methodology that reports on one legal status for each person of concern only. However, due to the extraordinary size of the displaced stateless population from Myanmar, UNHCR considers it important to reflect the dual status that this population group possesses. Additional stateless refugees, asylum-seekers, and IDPs will be reported on as UNHCR continues to review and improve its reporting on stateless persons with a dual status.</t>
    </r>
  </si>
  <si>
    <r>
      <t>Origin</t>
    </r>
    <r>
      <rPr>
        <vertAlign val="superscript"/>
        <sz val="10"/>
        <color theme="0"/>
        <rFont val="Arial"/>
        <family val="2"/>
      </rPr>
      <t>1</t>
    </r>
  </si>
  <si>
    <t>Albania</t>
  </si>
  <si>
    <t>Algeria</t>
  </si>
  <si>
    <t>Andorra</t>
  </si>
  <si>
    <t>AND</t>
  </si>
  <si>
    <t>Australia</t>
  </si>
  <si>
    <t>Barbados</t>
  </si>
  <si>
    <t>BRB</t>
  </si>
  <si>
    <t>Bhutan</t>
  </si>
  <si>
    <t>BTN</t>
  </si>
  <si>
    <t>Bolivia (Plurinational State of)</t>
  </si>
  <si>
    <t>Bulgaria</t>
  </si>
  <si>
    <t>Canada</t>
  </si>
  <si>
    <t>Chile</t>
  </si>
  <si>
    <t>China</t>
  </si>
  <si>
    <t>China, Macao SAR</t>
  </si>
  <si>
    <t>MAC</t>
  </si>
  <si>
    <t>Costa Rica</t>
  </si>
  <si>
    <t>Côte d'Ivoire</t>
  </si>
  <si>
    <t>Dem. People's Rep. of Korea</t>
  </si>
  <si>
    <t>PRK</t>
  </si>
  <si>
    <t>Dem. Rep. of the Congo</t>
  </si>
  <si>
    <t>Dominica</t>
  </si>
  <si>
    <t>DMA</t>
  </si>
  <si>
    <t>Dominican Rep.</t>
  </si>
  <si>
    <t>Equatorial Guinea</t>
  </si>
  <si>
    <t>GNQ</t>
  </si>
  <si>
    <t>Estonia</t>
  </si>
  <si>
    <t>French Guiana</t>
  </si>
  <si>
    <t>GUF</t>
  </si>
  <si>
    <t>Guadeloupe</t>
  </si>
  <si>
    <t>GLP</t>
  </si>
  <si>
    <t>Haiti</t>
  </si>
  <si>
    <t>HTI</t>
  </si>
  <si>
    <t>Indonesia</t>
  </si>
  <si>
    <t>Iran (Islamic Rep. of)</t>
  </si>
  <si>
    <t>Japan</t>
  </si>
  <si>
    <t>Jordan</t>
  </si>
  <si>
    <t>Kiribati</t>
  </si>
  <si>
    <t>KIR</t>
  </si>
  <si>
    <t>Lao People's Dem. Rep.</t>
  </si>
  <si>
    <t>LAO</t>
  </si>
  <si>
    <t>Latvia</t>
  </si>
  <si>
    <t>Malaysia</t>
  </si>
  <si>
    <t>Maldives</t>
  </si>
  <si>
    <t>MDV</t>
  </si>
  <si>
    <t>Mauritius</t>
  </si>
  <si>
    <t>MUS</t>
  </si>
  <si>
    <t>Mexico</t>
  </si>
  <si>
    <t>Myanmar</t>
  </si>
  <si>
    <t>Nepal</t>
  </si>
  <si>
    <t>Netherlands (Kingdom of the)</t>
  </si>
  <si>
    <t>Niue</t>
  </si>
  <si>
    <t>NIU</t>
  </si>
  <si>
    <t>Pakistan</t>
  </si>
  <si>
    <t>Palau</t>
  </si>
  <si>
    <t>PLW</t>
  </si>
  <si>
    <t>PSE</t>
  </si>
  <si>
    <t>Russian Federation</t>
  </si>
  <si>
    <t>Rwanda</t>
  </si>
  <si>
    <t>Saint Lucia</t>
  </si>
  <si>
    <t>LCA</t>
  </si>
  <si>
    <t>Samoa</t>
  </si>
  <si>
    <t>WSM</t>
  </si>
  <si>
    <t>Sao Tome and Principe</t>
  </si>
  <si>
    <t>STP</t>
  </si>
  <si>
    <t>Saudi Arabia</t>
  </si>
  <si>
    <t>Seychelles</t>
  </si>
  <si>
    <t>SYC</t>
  </si>
  <si>
    <t>South Africa</t>
  </si>
  <si>
    <t>Spain</t>
  </si>
  <si>
    <t>Syrian Arab Rep.</t>
  </si>
  <si>
    <t>Thailand</t>
  </si>
  <si>
    <t>Timor-Leste</t>
  </si>
  <si>
    <t>TLS</t>
  </si>
  <si>
    <t>Tonga</t>
  </si>
  <si>
    <t>TON</t>
  </si>
  <si>
    <t>Turkmenistan</t>
  </si>
  <si>
    <t>Uganda</t>
  </si>
  <si>
    <t>United Kingdom</t>
  </si>
  <si>
    <t>Uzbekistan</t>
  </si>
  <si>
    <t>Vanuatu</t>
  </si>
  <si>
    <t>VUT</t>
  </si>
  <si>
    <t>Stateless</t>
  </si>
  <si>
    <t>STA</t>
  </si>
  <si>
    <t>Various/unknown</t>
  </si>
  <si>
    <t>UKN</t>
  </si>
  <si>
    <t>Various/Stateless</t>
  </si>
  <si>
    <r>
      <t xml:space="preserve">1 </t>
    </r>
    <r>
      <rPr>
        <sz val="9"/>
        <rFont val="Arial"/>
        <family val="2"/>
      </rPr>
      <t xml:space="preserve"> Country or territory of origin.</t>
    </r>
  </si>
  <si>
    <r>
      <rPr>
        <vertAlign val="superscript"/>
        <sz val="9"/>
        <color theme="1"/>
        <rFont val="Arial"/>
        <family val="2"/>
      </rPr>
      <t>5</t>
    </r>
    <r>
      <rPr>
        <sz val="9"/>
        <color theme="1"/>
        <rFont val="Arial"/>
        <family val="2"/>
      </rPr>
      <t xml:space="preserve"> People who are outside their country or territory of origin, typically because they have been forcibly displaced across international borders, who have not been reported under other categories (asylum-seekers, refugees, people in refugee-like situations) but who likely need international protection, including protection against forced return, as well as access to basic services on a temporary or longer-term basis.</t>
    </r>
  </si>
  <si>
    <t>BMU</t>
  </si>
  <si>
    <t>Bermuda</t>
  </si>
  <si>
    <t>Colombia</t>
  </si>
  <si>
    <t>Iraq</t>
  </si>
  <si>
    <t>MHL</t>
  </si>
  <si>
    <t>Marshall Islands</t>
  </si>
  <si>
    <t>MTQ</t>
  </si>
  <si>
    <t>Martinique</t>
  </si>
  <si>
    <t>Monaco</t>
  </si>
  <si>
    <t>PRI</t>
  </si>
  <si>
    <t>Puerto Rico</t>
  </si>
  <si>
    <t>TUV</t>
  </si>
  <si>
    <t>Tuvalu</t>
  </si>
  <si>
    <t>Ukraine</t>
  </si>
  <si>
    <t>United States of America</t>
  </si>
  <si>
    <t>Unknown/other</t>
  </si>
  <si>
    <r>
      <t>10</t>
    </r>
    <r>
      <rPr>
        <sz val="9"/>
        <color theme="1"/>
        <rFont val="Arial"/>
        <family val="2"/>
      </rPr>
      <t xml:space="preserve">  Refers to individuals who do not necessarily fall directly into any of these groups above but to whom UNHCR has extended its protection and/or assistance services, based on humanitarian or other special grounds. This excludes host community that are assisted by UNHCR, who are reported separately.</t>
    </r>
  </si>
  <si>
    <t>Albania¹¹</t>
  </si>
  <si>
    <t>Algeria¹²</t>
  </si>
  <si>
    <t>¹¹ From various sources such as civil status offices, health institutions, schools, municipal child protection units, and social services, UNHCR estimates the number of people with undetermined nationality (at risk of statelessness).</t>
  </si>
  <si>
    <t>¹² According to the Government of Algeria, there are an estimated 165,000 Sahrawi refugees in the Tindouf camps. Statistical data relating to refugees are entirely for humanitarian purposes. The total number of persons in need of humanitarian assistance services is estimated to be far higher than this figure.</t>
  </si>
  <si>
    <t>Colombia¹¹</t>
  </si>
  <si>
    <t>Iraq¹²</t>
  </si>
  <si>
    <t>Palestinian¹³</t>
  </si>
  <si>
    <t>Tibetan</t>
  </si>
  <si>
    <t>Ukraine¹⁴</t>
  </si>
  <si>
    <t>United States of America¹⁵</t>
  </si>
  <si>
    <t>Western Sahara¹⁶</t>
  </si>
  <si>
    <t>¹¹ The figure of others of concern has been provided by the Government of Colombia.</t>
  </si>
  <si>
    <t>¹² The refugee population in Jordan includes 30,100 Iraqis registered with UNHCR. The Government of Jordan estimated the number of Iraqis at 400,000 individuals at the end of March 2015. This includes refugees and other categories of Iraqis.</t>
  </si>
  <si>
    <t>¹³ Refers to Palestinian refugees under the UNHCR mandate only.</t>
  </si>
  <si>
    <t>¹⁵ A limited number of countries record refugee and asylum statistics by country of birth rather than country of origin. This affects the number of refugees reported as originating from the United States of America.</t>
  </si>
  <si>
    <t>¹⁶ According to the Government of Algeria, there are an estimated 165,000 Sahrawi refugees in the Tindouf camps. Statistical data relating to refugees are entirely for humanitarian purposes. The total number of persons in need of humanitarian assistance services is estimated to be far higher than this figure.</t>
  </si>
  <si>
    <r>
      <rPr>
        <sz val="14"/>
        <color theme="4"/>
        <rFont val="Arial"/>
        <family val="2"/>
      </rPr>
      <t>Table 1 |</t>
    </r>
    <r>
      <rPr>
        <b/>
        <sz val="14"/>
        <color theme="4"/>
        <rFont val="Arial"/>
        <family val="2"/>
      </rPr>
      <t xml:space="preserve"> Refugees, asylum-seekers, other people in need of international protection, internally displaced persons (IDPs), returnees (refugees and IDPs), stateless persons, and others of concern to UNHCR, by country/territory of asylum</t>
    </r>
    <r>
      <rPr>
        <sz val="14"/>
        <color theme="4"/>
        <rFont val="Arial"/>
        <family val="2"/>
      </rPr>
      <t xml:space="preserve"> | end-2023</t>
    </r>
  </si>
  <si>
    <r>
      <rPr>
        <sz val="14"/>
        <color theme="4"/>
        <rFont val="Arial"/>
        <family val="2"/>
      </rPr>
      <t>Table 2 |</t>
    </r>
    <r>
      <rPr>
        <b/>
        <sz val="14"/>
        <color theme="4"/>
        <rFont val="Arial"/>
        <family val="2"/>
      </rPr>
      <t xml:space="preserve"> Refugees, asylum-seekers, other people in need of international protection, internally displaced persons (IDPs), returnees (refugees and IDPs), stateless persons, and others of concern to UNHCR, by country/territory of origin </t>
    </r>
    <r>
      <rPr>
        <sz val="14"/>
        <color theme="4"/>
        <rFont val="Arial"/>
        <family val="2"/>
      </rPr>
      <t>| end-2023</t>
    </r>
  </si>
  <si>
    <t>¹⁴ The others of concern figure corresponds to the number of conflict-affected, non-displaced people assisted by UNHCR during the year</t>
  </si>
  <si>
    <t>ISO code</t>
  </si>
  <si>
    <t>All</t>
  </si>
  <si>
    <t>Refugees</t>
  </si>
  <si>
    <t>Asylum-seekers</t>
  </si>
  <si>
    <t>Other people in need of international protection</t>
  </si>
  <si>
    <t>IDPs</t>
  </si>
  <si>
    <t>Stateless persons</t>
  </si>
  <si>
    <t>Others of concern</t>
  </si>
  <si>
    <t>Refugee returnees</t>
  </si>
  <si>
    <t>IDP Returnees</t>
  </si>
  <si>
    <t>Data available at:</t>
  </si>
  <si>
    <r>
      <t>4</t>
    </r>
    <r>
      <rPr>
        <sz val="9"/>
        <rFont val="Arial"/>
        <family val="2"/>
      </rPr>
      <t xml:space="preserve">  Asylum-seekers (with pending cases) are individuals who have sought international protection and whose claims for refugee status have not yet been determined. Those covered in this table refer to claimants whose individual applications were pending at the end of 2023, irrespective of when those claims may have been lodged.</t>
    </r>
  </si>
  <si>
    <t>Armenia¹³</t>
  </si>
  <si>
    <t>Australia¹⁴</t>
  </si>
  <si>
    <t>Bahamas¹⁵</t>
  </si>
  <si>
    <t>Brazil¹⁶</t>
  </si>
  <si>
    <t>Bulgaria¹⁷</t>
  </si>
  <si>
    <t>Canada¹⁸</t>
  </si>
  <si>
    <t>Chile¹⁹</t>
  </si>
  <si>
    <t>Colombia²⁰</t>
  </si>
  <si>
    <t>Curaçao²¹</t>
  </si>
  <si>
    <t>Côte d'Ivoire²²</t>
  </si>
  <si>
    <t>Dem. Rep. of the Congo²³</t>
  </si>
  <si>
    <t>Denmark²⁴</t>
  </si>
  <si>
    <t>Dominican Rep.²⁵</t>
  </si>
  <si>
    <t>Egypt²⁶</t>
  </si>
  <si>
    <t>Estonia²⁷</t>
  </si>
  <si>
    <t>Ethiopia²⁸</t>
  </si>
  <si>
    <t>Finland²⁹</t>
  </si>
  <si>
    <t>Iceland³⁰</t>
  </si>
  <si>
    <t>Indonesia³¹</t>
  </si>
  <si>
    <t>Iraq³²</t>
  </si>
  <si>
    <t>Italy³³</t>
  </si>
  <si>
    <t>Jordan³⁴</t>
  </si>
  <si>
    <t>Kazakhstan³⁵</t>
  </si>
  <si>
    <t>Kyrgyzstan³⁶</t>
  </si>
  <si>
    <t>Latvia³⁷</t>
  </si>
  <si>
    <t>Malaysia³⁸</t>
  </si>
  <si>
    <t>Mexico³⁹</t>
  </si>
  <si>
    <t>Myanmar⁴⁰</t>
  </si>
  <si>
    <t>Nepal⁴¹</t>
  </si>
  <si>
    <t>Netherlands (Kingdom of the)⁴²</t>
  </si>
  <si>
    <t>Norway⁴³</t>
  </si>
  <si>
    <t>Pakistan⁴⁴</t>
  </si>
  <si>
    <t>Russian Federation⁴⁵</t>
  </si>
  <si>
    <t>Rwanda⁴⁶</t>
  </si>
  <si>
    <t>Saudi Arabia⁴⁷</t>
  </si>
  <si>
    <t>Spain⁴⁸</t>
  </si>
  <si>
    <t>Sweden⁴⁹</t>
  </si>
  <si>
    <t>Syrian Arab Rep.⁵⁰</t>
  </si>
  <si>
    <t>¹³ In the South Caucasus region, 141,900 refugees fled to Armenia with most of them arriving after renewed armed conflict in Karabakh in September 2023.</t>
  </si>
  <si>
    <t>¹⁴ The number of refugees in Australia has been revised using updated data on the number of residence permit holders with refugee status by the end of 2023, as received from the government.</t>
  </si>
  <si>
    <t>¹⁵ All data is as of end-2022.</t>
  </si>
  <si>
    <t>¹⁷ No official data on the actual number of refugees residing in Bulgaria is available. The estimate includes 68,300 Ukrainians who received temporary protection, and 29,400 other refugees.</t>
  </si>
  <si>
    <t>¹⁸ Naturalization figures refer to the admission of protected persons as permanent residents of Canada. End-year stock refers to protected persons who are yet to acquire permanent resident status. The statistics on asylum-seekers (new applications, re-opened/repeat applications and/or appeal application) and refugees individually recognized in Canada include persons who had their claim assessed before the Refugee Protection Division and the Refugee Appeal Division of the Immigration Refugee Board as well as by the Department of Immigration, Refugees and Citizenship Canada through a Pre-Removal Risk Assessment.</t>
  </si>
  <si>
    <t>¹⁹ The number of other people in need of international protection is estimated from the Regional Refugee and Migrant Response Plan.</t>
  </si>
  <si>
    <t>²⁰ The National Victims Registry of Colombia contains the historical accumulated figure of the number of victims of displacement which continues to increase, given that victims continue to be registered in the country. Thus, the total number of persons recognized as victims of displacement (more than 8.5 million), includes the number of IDPs who are subject to attention and/or reparation, i.e. those who meet the requirements to access the measures of attention and reparation established in Colombian Law 1448 (6.9 million). The number of victims of displacement who are deceased, direct victims of forced disappearance and homicide, and other victims who, for various reasons, cannot effectively access these measures, are identified as not being subject to attention or reparation and therefore not included in the figure of 6.9 million. The figure is constantly updated, considering that by legal definition, victims have up to two years to make their declaration and be included in the registry system. See the summary: https://www.unidadvictimas.gov.co/es/registro-unico-de-victimas-ruv/37394.</t>
  </si>
  <si>
    <t>²¹ All data is as of end-2022.</t>
  </si>
  <si>
    <t>²² The statelessness figure is based on a 2019 mapping study jointly conducted by the Government and UNHCR.</t>
  </si>
  <si>
    <t>²³ The 2014 ministerial declaration that offered Prima Facie refugee status to persons fleeing generalised violence from Central African Republic from January 2013 onwards is no longer applicable. As such, all refugees are assessed on an individual basis by the National Commission for Refugees. The IDP figure differs from those agreed and communicated by UN OCHA, given the exlusion of IDPs due to disasters, in line with UNHCR methodology.</t>
  </si>
  <si>
    <t>²⁶ As of 31 December 2023, 152,800 Sudanese were registered by UNHCR in Egypt as asylum-seekers. Of this number, 125,600 were new arrivals who had fled the recent conflict, with an additional 222,000 pending registration with UNHCR by year-end. The Government of Egypt reported 370,000 Sudanese people having arrived in the country since the onset of the crisis. See also the Sudan Situation on the Operational Data Portal.</t>
  </si>
  <si>
    <t>²⁸ The number of returned IDPs is estimated by taking a difference between the returned IDPs as stocks reported in DTM Round 17 (August - September 2023) and Round 13 (June - July 2022) at the national level due to a lack of data availability on the timing of returns. Caution should be applied to the figures, given that subnational coverage of each round is different, for example, Round 13 did not cover Tigray and Round 17 did not cover considerable areas of Amhara.</t>
  </si>
  <si>
    <t>³¹ There are indications that a potentially sizable population of non-displaced stateless persons exists for whom no data is available.</t>
  </si>
  <si>
    <t>³³ The number of refugees was rebased using updated data on the number of residence permit holder with refugee status and temporary protection holders by the end of 2022, available from Eurostat.</t>
  </si>
  <si>
    <t>³⁴ The refugee population in Jordan includes 28,900 Iraqis registered with UNHCR. The Government of Jordan estimated the number of Iraqis at 400,000 individuals at the end of March 2015. This includes refugees and other categories of Iraqis.</t>
  </si>
  <si>
    <t>³⁷ With respect to persons under UNHCR’s statelessness mandate, this figure includes persons of concern covered by two separate Latvian laws. 159 persons fall under the Republic of Latvia’s Law on Stateless Persons on 17 February 2004. 180,455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</si>
  <si>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³⁹ The IDP figure can be found at CONAPO (2021) "Diagnóstico nacional sobre la situación del desplazamiento forzado interno en México" (https://www.gob.mx/cms/uploads/attachment/file/681782/Diagn_stico_nacional_sobre_la_situaci_n_del_desplazamiento_forzado_interno.pdf), where it is mentioned that 262,411 IDPs were displaced due to insecurity causes (pg18) and 24,376 IDPs due to disasters (pg 49). These calculations are based on 2020 Population and Housing Census carried out by INEGI.</t>
  </si>
  <si>
    <t>⁴⁰ The estimated figure of persons of concern under the statelessness mandate relates to stateless persons of Rohingya ethnicity in Rakhine State, including stateless Rohingya IDPs in Myanmar. The number of persons of undetermined nationality residing in other states or regions in Myanmar is not currently available. The number of stateless persons remaining in Rakhine State following violence in 2016 and 2017 and large scale departures to Bangladesh is based on detailed estimates for each village tract made by UNHCR, other UN agencies and NGOs in early 2018, which concluded that between 532,000 to 600,000 Rohingya remained in Rakhine State, increasing to 632,800 due to additional displacement (including an estimated 155,500 of those Rohingya who have been internally displaced).</t>
  </si>
  <si>
    <t>⁴¹ 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t>
  </si>
  <si>
    <t>⁴⁴ The 2.0 million refugees include around 1,371,400 registered refugees and around 143,900 unregistered members of registered families who were recorded through the documentation renewal and information verification exercise (DRIVE) and are being verified at the time of reporting. It also includes an estimated 472,900 Afghans who sought asylum in Pakistan, following transition in Afghanistan in August 2021. In total, some 600,000 Afghans have arrived in Pakistan since then, according to the Government estimates.</t>
  </si>
  <si>
    <t>⁴⁵ The figure for the Russian Federation includes 1.2 million Ukrainians who were granted refugee or temporary asylum status, as well as those recorded in the country in 2023 under other forms of stay.</t>
  </si>
  <si>
    <t>⁴⁶ This figure presents an estimate of persons with undetermined nationality/at risk of statelessness, based on a survey conducted by the Directorate General of Immigration and Emigration (DGIE) in 2010, which found approximately 9,500 persons to be at risk of statelessness. The 2023 population and housing census, led to the identification of areas where populations reside who are stateless or at the risk thereof. Efforts are underway to conduct targeted surveys that will provide an updated and reliable statistics.</t>
  </si>
  <si>
    <t>⁴⁷ UNHCR is verifying the number of stateless persons with the Government of Saudi Arabia. Also, only those asylum-seekers facing acute or imminent protection risks are registered by UNHCR. In addition, there are some 3,900 other asylum-seekers who were individually assessed, counselled and advised to inform UNHCR of any changes in their situation, which would justify a decision to register them.</t>
  </si>
  <si>
    <t>⁴⁸ The number of refugees is based on the  data on refugee, as provided by the government. The overall figures for Spain include refugee status (7%), subsidiary protection (8%), temporary protection (50%) and humanitarian reasons (35%). The figures for stateless individuals in Spain represent the 8,525 individuals recognized through the Spanish stateless determination procedure under the 1954 Convention relating to the Status of Stateless Persons, as well as 39 stateless refugees and 15 stateless asylum-seekers. Source: Permanent Observatory on Immigration, Spanish Ministry of Inclusion, Social Security and Migration.</t>
  </si>
  <si>
    <t>⁵⁰ According to some reports many stateless persons have been naturalized since 2011, but no official figures are yet confirmed.</t>
  </si>
  <si>
    <t>Tajikistan⁵¹</t>
  </si>
  <si>
    <t>Thailand⁵²</t>
  </si>
  <si>
    <t>Turkmenistan⁵³</t>
  </si>
  <si>
    <t>Uganda⁵⁴</t>
  </si>
  <si>
    <t>Ukraine⁵⁵</t>
  </si>
  <si>
    <t>United Kingdom⁵⁶</t>
  </si>
  <si>
    <t>United States of America⁵⁷</t>
  </si>
  <si>
    <t>Uzbekistan⁵⁸</t>
  </si>
  <si>
    <t>²⁴ The decrease in the stateless population in Denmark between 2022 and 2023 is due to de-duplication of figures reported in previous years.</t>
  </si>
  <si>
    <t>²⁷ Almost all people recorded as being stateless have permanent residence and enjoy more rights than foreseen in the 1954 Convention relating to the Status of Stateless Persons.</t>
  </si>
  <si>
    <t>²⁹ The decrease in the stateless population in Finland between 2022 and 2023 is due to de-duplication of figures reported in previous years.</t>
  </si>
  <si>
    <t>³⁰ The decrease in the stateless population in Iceland between 2022 and 2023 is due to de-duplication of figures reported in previous years.</t>
  </si>
  <si>
    <t>³⁵ Based on the information reported in the media as well as UNHCR protection monitoring activities, UNHCR estimates there to be 42,412 people of various origins in Kazakhstan who may be in need of international protection</t>
  </si>
  <si>
    <t>³⁶ Based on new arrivals information in the report of international organizations and UNHCR protection monitoring activities, UNHCR estimates there to be 27,540 people of various origins in Kyrgyzstan who may be in need of international protection</t>
  </si>
  <si>
    <t>⁴³ The decrease in the stateless population in Norway between 2022 and 2023 is due to de-duplication of figures reported in previous years.</t>
  </si>
  <si>
    <t>⁴⁹ The decrease in the stateless population in Sweden between 2022 and 2023 is due to de-duplication of figures reported in previous years.</t>
  </si>
  <si>
    <t>⁵² The total statelessness figure includes 586,500 stateless persons reported by the Royal Thai Government and registered with the national civil registration system by the end of 2023.</t>
  </si>
  <si>
    <t>⁵³ In January 2024, the Government of Turkmenistan released first time ever official statistical information on stateless persons. Previously, in the absence of official data, the figure reported refers to stateless persons and persons with undetermined nationality identified by UNHCR partner organizations in Turkmenistan. Given the discrepancies between partner organizations figures and official figures as of 31 Dec 2023, UNHCR plans to continue crosschecking of partners’ database with the Turkmen authorities in 2024 in order to ensure accurate reporting for 2024. The decrease in the reported figure corresponds to those people who were naturalized or who had another nationality confirmed. Based on reports from international organizations, UNHCR estimates that there are approximately 3,600 Afghan nationals residing in Turkmenistan who are likely in need of international protection</t>
  </si>
  <si>
    <t>⁵⁴ This figure presents an estimate of persons with undetermined nationality/at risk of statelessness, based on joint outreach mission conducted by the Government of Uganda and UNHCR in September/October 2021, that aimed to provide estimate numbers through self-identification of communities not recognized under the Third Schedule of the 1995 Constitution.</t>
  </si>
  <si>
    <t>⁵⁷ No data was available for stateless persons residing in the United States of America. The United States of America has also offered temporary status in certain circumstances to people in need of international protection. UNHCR is in discussions with the U.S. government about how to best reflect such datapoints for all relevant populations in future reporting cycles.</t>
  </si>
  <si>
    <t>⁵⁸ The statelessness figure refers to stateless persons with permanent residence in Uzbekistan officially reported by the Government of Uzbekistan to UNHCR as of 31 December 2023. Information on other categories of statelessness is unavailable.</t>
  </si>
  <si>
    <t xml:space="preserve">³² This figure reflects the number of stateless persons identified through a survey completed by UNHCR and a partner among various communities affected by statelessness, which led to 1,000 interviews being conducted, through which 233 individuals were considered to be stateless. This figure only captures stateless individuals known to UNHCR, while there are likely to be more people in the country who are stateless. It does not include any estimate of the stateless refugee population or persons of undetermined nationality, populations that are also typically included in official UNHCR statelessness statistics. Based on other data sources it is understood that there are also persons of those profiles in Iraq, and the reported figures will be reviewed as more information becomes available. </t>
  </si>
  <si>
    <t>⁵¹ Based on the information reported in the media as well as UNHCR protection monitoring activities, UNHCR estimates there to be 3,000 people of various origins in Tajikistan who may be in need of international protection.</t>
  </si>
  <si>
    <t>⁵⁶ The UK’s stateless figures show the number of stateless individuals recognised through the UK's stateless determination procedure since it began in 2013. In previous years, this figure has been calculated by adding all grants of stateless leave. This resulted in unavoidable double counting for stateless individuals who were applying for further statelessness leave after the expiry of their initial grant of leave. The UK Government has now provided data for initial and subsequent grants. The subsequent grants have therefore been removed from the previous cumulative figure between 2013 - 2018. Since 2019, the cumulative figure now only includes initial grants of leave following individuals’ recognition as stateless. As of 2023, the total number of individuals recognised under UK’s statelessness determination procedure is 362. UNHCR further provides the number of asylum-seekers and refugees whose nationality has been recorded as ‘stateless’ as part of the asylum process. For this group there has been no formal determination that they are stateless.The number of 'stateless' asylum-seekers in the UK awaiting a decision has been revised, following decisions on their asylum claims during the year.</t>
  </si>
  <si>
    <t>¹⁶ Brazil reported 95,800 people in a refugee-like situation, primarily Haitian nationals (87,400), who have been granted a humanitarian residency permit.</t>
  </si>
  <si>
    <t>https://www.unhcr.org/refugee-statistics</t>
  </si>
  <si>
    <t>* Indicates the proportion of the population type in the country for which the demographic data are available. If the coverage is low (i.e. below 50%), the percentages may not be representative for the total population of concern in the country.</t>
  </si>
  <si>
    <t>The population for which demographic data is available does not necessarily equal the total population type in the country. See notes in Annex Table 1.</t>
  </si>
  <si>
    <t>Small values between zero and five have been rounded to multiples of five. Demographic data has been additionally modified so that the data remains additive. A dash ("-") indicates that the value is zero, not available or not applicable.</t>
  </si>
  <si>
    <t>Female</t>
  </si>
  <si>
    <t>Male</t>
  </si>
  <si>
    <t>Coverage*</t>
  </si>
  <si>
    <t>Country/territory of 
asylum/residence</t>
  </si>
  <si>
    <r>
      <t>Population type</t>
    </r>
    <r>
      <rPr>
        <vertAlign val="superscript"/>
        <sz val="10"/>
        <color theme="0"/>
        <rFont val="Arial"/>
        <family val="2"/>
      </rPr>
      <t>1</t>
    </r>
  </si>
  <si>
    <t>Population for which demographic data is available</t>
  </si>
  <si>
    <t>0-4</t>
  </si>
  <si>
    <t>5-11</t>
  </si>
  <si>
    <t>12-17</t>
  </si>
  <si>
    <t>0-17</t>
  </si>
  <si>
    <t>18-59</t>
  </si>
  <si>
    <t>60+</t>
  </si>
  <si>
    <t>Unknown age</t>
  </si>
  <si>
    <t>Age and sex</t>
  </si>
  <si>
    <t>Sex only</t>
  </si>
  <si>
    <r>
      <rPr>
        <vertAlign val="superscript"/>
        <sz val="9"/>
        <rFont val="Arial"/>
        <family val="2"/>
      </rPr>
      <t>1</t>
    </r>
    <r>
      <rPr>
        <sz val="9"/>
        <rFont val="Arial"/>
        <family val="2"/>
      </rPr>
      <t xml:space="preserve"> Refugees includes people in refugee-like situations</t>
    </r>
  </si>
  <si>
    <r>
      <rPr>
        <sz val="14"/>
        <color theme="4"/>
        <rFont val="Arial"/>
        <family val="2"/>
      </rPr>
      <t xml:space="preserve">Table 6 | </t>
    </r>
    <r>
      <rPr>
        <b/>
        <sz val="14"/>
        <color theme="4"/>
        <rFont val="Arial"/>
        <family val="2"/>
      </rPr>
      <t>Demographic composition by country/territory of asylum and type of population</t>
    </r>
    <r>
      <rPr>
        <sz val="14"/>
        <color theme="4"/>
        <rFont val="Arial"/>
        <family val="2"/>
      </rPr>
      <t xml:space="preserve"> | end-2023</t>
    </r>
  </si>
  <si>
    <t>Population of concern to UNHCR, end-2023</t>
  </si>
  <si>
    <t>⁵⁵ The others of concern figure corresponds to the number of conflict-affected, non-displaced people assisted by UNHCR during the year. The number of refugee returns to Ukraine is estimated using the IOM DTM Ukraine General Population Survey Round 15. The report estimates that at least 324,300 refugees have returned from abroad during the previous 3 to 12 months, which is the timeframe established in the UNHCR position paper on returns to Ukraine as an indication of the intention for a stable return. The breakdown by former country of asylum is based on population figures of Ukranian refugees by end-2022. The figure of 1.3 million IDP returns, was estimated by combining the share of returnees who returned from within the country and the share of returnees who had returned during the previous 12 months.</t>
  </si>
  <si>
    <t>⁴² The number of refugees is based on the data on refugee and temporary protection status holders, as provided by the government.</t>
  </si>
  <si>
    <t xml:space="preserve">²⁵ UNHCR is currently working with the authorities and other actors to determine the size of the population affected by ruling 168-13 that found an effective nationality solution. Since the adoption of Law 169-14 in May 2014, steps have been taken by the Dominican Republic to confirm Dominican nationality through the validation of birth certificates of individuals born in the country to two migrant parents before 2007. According to information shared by the Central Electoral Board (JCE) in 2022, out of the total Group A population of 61,206 persons, approximately 26,200 had obtained their Dominican nationality documentation. Additionally, as of December 2020, over 1,830 persons (800 of which were children) – out of the 7,159 approved individuals who had applied to the regularization plan established in Law 169-14 (Group B)- had submitted applications for naturalization to the Ministry of Interior and of the Police (MIP). Up until December 2023, two naturalization decrees had been issued granting Dominican nationality to 799 applicants, all of whom are still pending to receive nationality documentation.                                       </t>
  </si>
  <si>
    <t xml:space="preserve">³⁸ The total stateless population in Malaysia includes 9,392 non-displaced stateless persons who may be entitled to Malaysian nationality under the law. This number of non-displaced stateless persons is based on a registration and community legal assistance programme undertaken in West Malaysia by a local NGO with technical support from UNHCR. The total statelessness figure reported also includes 107,678 stateless persons of Rohingya ethnicity who are also counted as refugees or asylum-seekers from Myanmar, mainly from Rakhine State. </t>
  </si>
  <si>
    <r>
      <t>Returned refugees</t>
    </r>
    <r>
      <rPr>
        <vertAlign val="superscript"/>
        <sz val="10"/>
        <color rgb="FFFF0000"/>
        <rFont val="Arial"/>
        <family val="2"/>
      </rPr>
      <t>6</t>
    </r>
  </si>
  <si>
    <r>
      <t>Returned IDPs</t>
    </r>
    <r>
      <rPr>
        <vertAlign val="superscript"/>
        <sz val="10"/>
        <color rgb="FFFF0000"/>
        <rFont val="Arial"/>
        <family val="2"/>
      </rPr>
      <t>8</t>
    </r>
  </si>
  <si>
    <r>
      <t>Refugees</t>
    </r>
    <r>
      <rPr>
        <vertAlign val="superscript"/>
        <sz val="10"/>
        <color rgb="FFFF0000"/>
        <rFont val="Arial"/>
        <family val="2"/>
      </rPr>
      <t>2</t>
    </r>
  </si>
  <si>
    <r>
      <t>People in refugee-like situations</t>
    </r>
    <r>
      <rPr>
        <vertAlign val="superscript"/>
        <sz val="10"/>
        <color rgb="FFFF0000"/>
        <rFont val="Arial"/>
        <family val="2"/>
      </rPr>
      <t>3</t>
    </r>
  </si>
  <si>
    <r>
      <t xml:space="preserve">Refugees </t>
    </r>
    <r>
      <rPr>
        <vertAlign val="superscript"/>
        <sz val="10"/>
        <color rgb="FFFF000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</si>
</sst>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
    <numFmt numFmtId="166" formatCode="_-* #,##0_-;\-* #,##0_-;_-* &quot;-&quot;??_-;_-@_-"/>
    <numFmt numFmtId="167" formatCode="_(* #,##0_);_(* \(#,##0\);_(* &quot;-&quot;??_);_(@_)"/>
  </numFmts>
  <fonts count="38" x14ac:knownFonts="1">
    <font>
      <sz val="10"/>
      <name val="Arial"/>
    </font>
    <font>
      <sz val="10"/>
      <name val="Arial"/>
      <family val="2"/>
    </font>
    <font>
      <b/>
      <sz val="14"/>
      <color theme="4"/>
      <name val="Arial"/>
      <family val="2"/>
    </font>
    <font>
      <sz val="14"/>
      <color theme="4"/>
      <name val="Arial"/>
      <family val="2"/>
    </font>
    <font>
      <sz val="14"/>
      <name val="Arial"/>
      <family val="2"/>
    </font>
    <font>
      <b/>
      <sz val="10"/>
      <color theme="9"/>
      <name val="Arial"/>
      <family val="2"/>
    </font>
    <font>
      <sz val="8"/>
      <name val="Arial"/>
      <family val="2"/>
    </font>
    <font>
      <u/>
      <sz val="10"/>
      <color indexed="12"/>
      <name val="Arial"/>
      <family val="2"/>
    </font>
    <font>
      <u/>
      <sz val="10"/>
      <color theme="4"/>
      <name val="Arial"/>
      <family val="2"/>
    </font>
    <font>
      <sz val="7.5"/>
      <name val="Arial"/>
      <family val="2"/>
    </font>
    <font>
      <sz val="10"/>
      <color theme="0"/>
      <name val="Arial"/>
      <family val="2"/>
    </font>
    <font>
      <b/>
      <sz val="10"/>
      <color theme="0"/>
      <name val="Arial"/>
      <family val="2"/>
    </font>
    <font>
      <vertAlign val="superscript"/>
      <sz val="10"/>
      <color theme="0"/>
      <name val="Arial"/>
      <family val="2"/>
    </font>
    <font>
      <b/>
      <sz val="12"/>
      <color theme="0"/>
      <name val="Arial"/>
      <family val="2"/>
    </font>
    <font>
      <b/>
      <sz val="10"/>
      <name val="Arial"/>
      <family val="2"/>
    </font>
    <font>
      <b/>
      <sz val="8"/>
      <name val="Arial"/>
      <family val="2"/>
    </font>
    <font>
      <sz val="9"/>
      <name val="Arial"/>
      <family val="2"/>
    </font>
    <font>
      <vertAlign val="superscript"/>
      <sz val="9"/>
      <name val="Arial"/>
      <family val="2"/>
    </font>
    <font>
      <vertAlign val="superscript"/>
      <sz val="9"/>
      <color theme="1"/>
      <name val="Arial"/>
      <family val="2"/>
    </font>
    <font>
      <sz val="9"/>
      <color theme="1"/>
      <name val="Arial"/>
      <family val="2"/>
    </font>
    <font>
      <sz val="11"/>
      <color theme="1"/>
      <name val="Arial"/>
      <family val="2"/>
      <scheme val="minor"/>
    </font>
    <font>
      <sz val="10"/>
      <name val="Arial"/>
      <family val="2"/>
    </font>
    <font>
      <sz val="10"/>
      <color theme="1" tint="0.249977111117893"/>
      <name val="Arial"/>
      <family val="2"/>
    </font>
    <font>
      <b/>
      <sz val="9"/>
      <name val="Arial"/>
      <family val="2"/>
    </font>
    <font>
      <b/>
      <sz val="10"/>
      <color rgb="FFFF0000"/>
      <name val="Arial"/>
      <family val="2"/>
    </font>
    <font>
      <sz val="10"/>
      <color indexed="10"/>
      <name val="Arial"/>
      <family val="2"/>
    </font>
    <font>
      <sz val="8"/>
      <color indexed="10"/>
      <name val="Arial"/>
      <family val="2"/>
    </font>
    <font>
      <sz val="8"/>
      <color theme="0"/>
      <name val="Arial"/>
      <family val="2"/>
    </font>
    <font>
      <sz val="8"/>
      <color theme="1" tint="0.249977111117893"/>
      <name val="Arial"/>
      <family val="2"/>
    </font>
    <font>
      <sz val="10"/>
      <color rgb="FFFF0000"/>
      <name val="Arial"/>
      <family val="2"/>
    </font>
    <font>
      <sz val="7.5"/>
      <color rgb="FFFF0000"/>
      <name val="Arial"/>
      <family val="2"/>
    </font>
    <font>
      <vertAlign val="superscript"/>
      <sz val="10"/>
      <color rgb="FFFF0000"/>
      <name val="Arial"/>
      <family val="2"/>
    </font>
    <font>
      <sz val="8"/>
      <color rgb="FFFF0000"/>
      <name val="Arial"/>
      <family val="2"/>
    </font>
    <font>
      <i/>
      <sz val="8"/>
      <color rgb="FFFF0000"/>
      <name val="Arial"/>
      <family val="2"/>
    </font>
    <font>
      <sz val="14"/>
      <color rgb="FFFF0000"/>
      <name val="Arial"/>
      <family val="2"/>
    </font>
    <font>
      <vertAlign val="superscript"/>
      <sz val="7.5"/>
      <color rgb="FFFF0000"/>
      <name val="Arial"/>
      <family val="2"/>
    </font>
    <font>
      <u/>
      <sz val="10"/>
      <color rgb="FFFF0000"/>
      <name val="Arial"/>
      <family val="2"/>
    </font>
    <font>
      <sz val="9"/>
      <color rgb="FFFF0000"/>
      <name val="Arial"/>
      <family val="2"/>
    </font>
  </fonts>
  <fills count="7">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indexed="9"/>
        <bgColor indexed="64"/>
      </patternFill>
    </fill>
    <fill>
      <patternFill patternType="solid">
        <fgColor theme="4" tint="0.79998168889431442"/>
        <bgColor indexed="64"/>
      </patternFill>
    </fill>
    <fill>
      <patternFill patternType="solid">
        <fgColor theme="5"/>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4.9989318521683403E-2"/>
      </bottom>
      <diagonal/>
    </border>
    <border>
      <left style="thin">
        <color theme="0" tint="-0.499984740745262"/>
      </left>
      <right style="thin">
        <color theme="0" tint="-0.499984740745262"/>
      </right>
      <top style="thin">
        <color theme="0" tint="-4.9989318521683403E-2"/>
      </top>
      <bottom style="thin">
        <color theme="0" tint="-4.9989318521683403E-2"/>
      </bottom>
      <diagonal/>
    </border>
  </borders>
  <cellStyleXfs count="10">
    <xf numFmtId="0" fontId="0" fillId="0" borderId="0"/>
    <xf numFmtId="0" fontId="7"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20" fillId="0" borderId="0"/>
    <xf numFmtId="0" fontId="20" fillId="0" borderId="0"/>
    <xf numFmtId="43" fontId="2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 fillId="0" borderId="0"/>
  </cellStyleXfs>
  <cellXfs count="134">
    <xf numFmtId="0" fontId="0" fillId="0" borderId="0" xfId="0"/>
    <xf numFmtId="0" fontId="4" fillId="0" borderId="0" xfId="2" applyFont="1" applyAlignment="1">
      <alignment vertical="center"/>
    </xf>
    <xf numFmtId="0" fontId="5" fillId="2" borderId="3" xfId="2" applyFont="1" applyFill="1" applyBorder="1"/>
    <xf numFmtId="0" fontId="1" fillId="2" borderId="0" xfId="2" applyFill="1" applyAlignment="1">
      <alignment wrapText="1"/>
    </xf>
    <xf numFmtId="0" fontId="6" fillId="0" borderId="0" xfId="2" applyFont="1"/>
    <xf numFmtId="0" fontId="1" fillId="2" borderId="3" xfId="2" applyFill="1" applyBorder="1"/>
    <xf numFmtId="0" fontId="8" fillId="2" borderId="0" xfId="1" applyFont="1" applyFill="1" applyAlignment="1" applyProtection="1"/>
    <xf numFmtId="0" fontId="1" fillId="2" borderId="0" xfId="2" applyFill="1"/>
    <xf numFmtId="0" fontId="9" fillId="2" borderId="0" xfId="2" applyFont="1" applyFill="1" applyAlignment="1">
      <alignment horizontal="left" vertical="top" wrapText="1"/>
    </xf>
    <xf numFmtId="0" fontId="10" fillId="3" borderId="4" xfId="2" applyFont="1" applyFill="1" applyBorder="1" applyAlignment="1">
      <alignment wrapText="1"/>
    </xf>
    <xf numFmtId="0" fontId="12" fillId="3" borderId="4" xfId="2" applyFont="1" applyFill="1" applyBorder="1" applyAlignment="1">
      <alignment wrapText="1"/>
    </xf>
    <xf numFmtId="0" fontId="10" fillId="3" borderId="8" xfId="2" applyFont="1" applyFill="1" applyBorder="1" applyAlignment="1">
      <alignment horizontal="center" vertical="center" wrapText="1"/>
    </xf>
    <xf numFmtId="0" fontId="10" fillId="3" borderId="4" xfId="2" applyFont="1" applyFill="1" applyBorder="1" applyAlignment="1">
      <alignment horizontal="center" vertical="center" wrapText="1"/>
    </xf>
    <xf numFmtId="0" fontId="10" fillId="3" borderId="9" xfId="2" applyFont="1" applyFill="1" applyBorder="1" applyAlignment="1">
      <alignment horizontal="center" vertical="center" wrapText="1"/>
    </xf>
    <xf numFmtId="0" fontId="12" fillId="3" borderId="9" xfId="2" applyFont="1" applyFill="1" applyBorder="1" applyAlignment="1">
      <alignment horizontal="center" vertical="center" wrapText="1"/>
    </xf>
    <xf numFmtId="0" fontId="6" fillId="0" borderId="0" xfId="2" applyFont="1" applyAlignment="1">
      <alignment horizontal="center" wrapText="1"/>
    </xf>
    <xf numFmtId="165" fontId="1" fillId="0" borderId="9" xfId="2" applyNumberFormat="1" applyBorder="1"/>
    <xf numFmtId="0" fontId="10" fillId="3" borderId="10" xfId="2" applyFont="1" applyFill="1" applyBorder="1" applyAlignment="1">
      <alignment vertical="center"/>
    </xf>
    <xf numFmtId="165" fontId="10" fillId="3" borderId="8" xfId="2" applyNumberFormat="1" applyFont="1" applyFill="1" applyBorder="1" applyAlignment="1">
      <alignment vertical="center"/>
    </xf>
    <xf numFmtId="165" fontId="10" fillId="3" borderId="10" xfId="2" applyNumberFormat="1" applyFont="1" applyFill="1" applyBorder="1" applyAlignment="1">
      <alignment vertical="center"/>
    </xf>
    <xf numFmtId="0" fontId="1" fillId="0" borderId="0" xfId="2"/>
    <xf numFmtId="165" fontId="1" fillId="0" borderId="0" xfId="2" applyNumberFormat="1"/>
    <xf numFmtId="0" fontId="13" fillId="3" borderId="10" xfId="2" applyFont="1" applyFill="1" applyBorder="1" applyAlignment="1">
      <alignment horizontal="center" vertical="center" wrapText="1"/>
    </xf>
    <xf numFmtId="0" fontId="14" fillId="0" borderId="3" xfId="2" applyFont="1" applyBorder="1"/>
    <xf numFmtId="0" fontId="6" fillId="2" borderId="0" xfId="2" applyFont="1" applyFill="1" applyAlignment="1">
      <alignment wrapText="1"/>
    </xf>
    <xf numFmtId="165" fontId="6" fillId="2" borderId="0" xfId="2" applyNumberFormat="1" applyFont="1" applyFill="1" applyAlignment="1">
      <alignment wrapText="1"/>
    </xf>
    <xf numFmtId="0" fontId="15" fillId="2" borderId="0" xfId="2" applyFont="1" applyFill="1" applyAlignment="1">
      <alignment wrapText="1"/>
    </xf>
    <xf numFmtId="9" fontId="6" fillId="2" borderId="0" xfId="3" applyFont="1" applyFill="1" applyAlignment="1">
      <alignment wrapText="1"/>
    </xf>
    <xf numFmtId="0" fontId="16" fillId="2" borderId="0" xfId="2" applyFont="1" applyFill="1" applyAlignment="1">
      <alignment horizontal="left" vertical="top"/>
    </xf>
    <xf numFmtId="0" fontId="1" fillId="2" borderId="0" xfId="2" applyFill="1" applyAlignment="1">
      <alignment horizontal="left" vertical="center" wrapText="1"/>
    </xf>
    <xf numFmtId="165" fontId="10" fillId="3" borderId="11" xfId="2" applyNumberFormat="1" applyFont="1" applyFill="1" applyBorder="1" applyAlignment="1">
      <alignment vertical="center"/>
    </xf>
    <xf numFmtId="165" fontId="6" fillId="0" borderId="0" xfId="2" applyNumberFormat="1" applyFont="1"/>
    <xf numFmtId="0" fontId="11" fillId="3" borderId="10" xfId="2" applyFont="1" applyFill="1" applyBorder="1" applyAlignment="1">
      <alignment vertical="center"/>
    </xf>
    <xf numFmtId="0" fontId="6" fillId="2" borderId="0" xfId="2" applyFont="1" applyFill="1"/>
    <xf numFmtId="0" fontId="6" fillId="4" borderId="0" xfId="2" applyFont="1" applyFill="1" applyAlignment="1">
      <alignment wrapText="1"/>
    </xf>
    <xf numFmtId="165" fontId="6" fillId="4" borderId="0" xfId="2" applyNumberFormat="1" applyFont="1" applyFill="1" applyAlignment="1">
      <alignment wrapText="1"/>
    </xf>
    <xf numFmtId="9" fontId="9" fillId="2" borderId="0" xfId="3" applyFont="1" applyFill="1" applyBorder="1" applyAlignment="1">
      <alignment horizontal="left" vertical="top" wrapText="1"/>
    </xf>
    <xf numFmtId="166" fontId="0" fillId="0" borderId="0" xfId="6" applyNumberFormat="1" applyFont="1"/>
    <xf numFmtId="0" fontId="16" fillId="2" borderId="0" xfId="2" applyFont="1" applyFill="1"/>
    <xf numFmtId="0" fontId="22" fillId="5" borderId="9" xfId="2" applyFont="1" applyFill="1" applyBorder="1" applyAlignment="1">
      <alignment horizontal="left" vertical="center" wrapText="1"/>
    </xf>
    <xf numFmtId="167" fontId="22" fillId="5" borderId="9" xfId="7" applyNumberFormat="1" applyFont="1" applyFill="1" applyBorder="1" applyAlignment="1">
      <alignment horizontal="right" vertical="center" wrapText="1"/>
    </xf>
    <xf numFmtId="0" fontId="22" fillId="5" borderId="9" xfId="2" applyFont="1" applyFill="1" applyBorder="1" applyAlignment="1">
      <alignment horizontal="left" vertical="center"/>
    </xf>
    <xf numFmtId="0" fontId="24" fillId="2" borderId="3" xfId="2" applyFont="1" applyFill="1" applyBorder="1"/>
    <xf numFmtId="0" fontId="0" fillId="6" borderId="0" xfId="0" applyFill="1"/>
    <xf numFmtId="0" fontId="2" fillId="2" borderId="0" xfId="2" quotePrefix="1" applyFont="1" applyFill="1" applyAlignment="1">
      <alignment horizontal="left" vertical="center"/>
    </xf>
    <xf numFmtId="0" fontId="14" fillId="2" borderId="0" xfId="2" quotePrefix="1" applyFont="1" applyFill="1" applyAlignment="1">
      <alignment horizontal="left" vertical="center"/>
    </xf>
    <xf numFmtId="167" fontId="1" fillId="2" borderId="0" xfId="7" applyNumberFormat="1" applyFont="1" applyFill="1" applyAlignment="1">
      <alignment vertical="center"/>
    </xf>
    <xf numFmtId="0" fontId="1" fillId="2" borderId="0" xfId="2" applyFill="1" applyAlignment="1">
      <alignment vertical="center"/>
    </xf>
    <xf numFmtId="0" fontId="1" fillId="0" borderId="0" xfId="2" applyAlignment="1">
      <alignment vertical="center"/>
    </xf>
    <xf numFmtId="0" fontId="1" fillId="2" borderId="0" xfId="2" applyFill="1" applyAlignment="1">
      <alignment horizontal="left"/>
    </xf>
    <xf numFmtId="167" fontId="1" fillId="2" borderId="0" xfId="7" applyNumberFormat="1" applyFont="1" applyFill="1"/>
    <xf numFmtId="15" fontId="25" fillId="2" borderId="0" xfId="7" quotePrefix="1" applyNumberFormat="1" applyFont="1" applyFill="1" applyAlignment="1">
      <alignment horizontal="left"/>
    </xf>
    <xf numFmtId="0" fontId="6" fillId="2" borderId="0" xfId="2" applyFont="1" applyFill="1" applyAlignment="1">
      <alignment horizontal="left"/>
    </xf>
    <xf numFmtId="167" fontId="6" fillId="2" borderId="0" xfId="7" applyNumberFormat="1" applyFont="1" applyFill="1"/>
    <xf numFmtId="15" fontId="26" fillId="2" borderId="0" xfId="7" quotePrefix="1" applyNumberFormat="1" applyFont="1" applyFill="1" applyAlignment="1">
      <alignment horizontal="left"/>
    </xf>
    <xf numFmtId="0" fontId="27" fillId="3" borderId="4" xfId="2" applyFont="1" applyFill="1" applyBorder="1" applyAlignment="1">
      <alignment wrapText="1"/>
    </xf>
    <xf numFmtId="0" fontId="10" fillId="3" borderId="10" xfId="2" applyFont="1" applyFill="1" applyBorder="1" applyAlignment="1">
      <alignment horizontal="centerContinuous"/>
    </xf>
    <xf numFmtId="0" fontId="27" fillId="3" borderId="10" xfId="2" applyFont="1" applyFill="1" applyBorder="1" applyAlignment="1">
      <alignment horizontal="centerContinuous"/>
    </xf>
    <xf numFmtId="167" fontId="10" fillId="3" borderId="4" xfId="7" applyNumberFormat="1" applyFont="1" applyFill="1" applyBorder="1" applyAlignment="1">
      <alignment wrapText="1"/>
    </xf>
    <xf numFmtId="0" fontId="10" fillId="3" borderId="10" xfId="2" quotePrefix="1" applyFont="1" applyFill="1" applyBorder="1" applyAlignment="1">
      <alignment horizontal="center" vertical="center"/>
    </xf>
    <xf numFmtId="17" fontId="10" fillId="3" borderId="10" xfId="2" quotePrefix="1" applyNumberFormat="1" applyFont="1" applyFill="1" applyBorder="1" applyAlignment="1">
      <alignment horizontal="center" vertical="center"/>
    </xf>
    <xf numFmtId="17" fontId="10" fillId="3" borderId="10" xfId="2" applyNumberFormat="1" applyFont="1" applyFill="1" applyBorder="1" applyAlignment="1">
      <alignment horizontal="center" vertical="center"/>
    </xf>
    <xf numFmtId="0" fontId="10" fillId="3" borderId="10" xfId="2" quotePrefix="1" applyFont="1" applyFill="1" applyBorder="1" applyAlignment="1">
      <alignment horizontal="center" vertical="center" wrapText="1"/>
    </xf>
    <xf numFmtId="0" fontId="10" fillId="3" borderId="10" xfId="2" applyFont="1" applyFill="1" applyBorder="1" applyAlignment="1">
      <alignment horizontal="center" vertical="center"/>
    </xf>
    <xf numFmtId="0" fontId="6" fillId="0" borderId="0" xfId="2" applyFont="1" applyAlignment="1">
      <alignment vertical="center"/>
    </xf>
    <xf numFmtId="0" fontId="28" fillId="0" borderId="0" xfId="2" applyFont="1" applyAlignment="1">
      <alignment vertical="center"/>
    </xf>
    <xf numFmtId="0" fontId="27" fillId="3" borderId="10" xfId="2" applyFont="1" applyFill="1" applyBorder="1" applyAlignment="1">
      <alignment vertical="center"/>
    </xf>
    <xf numFmtId="167" fontId="10" fillId="3" borderId="10" xfId="2" applyNumberFormat="1" applyFont="1" applyFill="1" applyBorder="1" applyAlignment="1">
      <alignment vertical="center"/>
    </xf>
    <xf numFmtId="0" fontId="23" fillId="2" borderId="0" xfId="2" applyFont="1" applyFill="1"/>
    <xf numFmtId="167" fontId="6" fillId="0" borderId="0" xfId="7" applyNumberFormat="1" applyFont="1"/>
    <xf numFmtId="167" fontId="6" fillId="0" borderId="0" xfId="7" applyNumberFormat="1" applyFont="1" applyFill="1"/>
    <xf numFmtId="0" fontId="29" fillId="2" borderId="0" xfId="2" applyFont="1" applyFill="1" applyAlignment="1">
      <alignment wrapText="1"/>
    </xf>
    <xf numFmtId="0" fontId="30" fillId="2" borderId="0" xfId="2" applyFont="1" applyFill="1" applyAlignment="1">
      <alignment horizontal="left" vertical="top" wrapText="1"/>
    </xf>
    <xf numFmtId="0" fontId="29" fillId="3" borderId="4" xfId="2" applyFont="1" applyFill="1" applyBorder="1" applyAlignment="1">
      <alignment wrapText="1"/>
    </xf>
    <xf numFmtId="0" fontId="29" fillId="3" borderId="9" xfId="2" applyFont="1" applyFill="1" applyBorder="1" applyAlignment="1">
      <alignment horizontal="center" vertical="center" wrapText="1"/>
    </xf>
    <xf numFmtId="166" fontId="29" fillId="0" borderId="0" xfId="6" applyNumberFormat="1" applyFont="1"/>
    <xf numFmtId="165" fontId="29" fillId="3" borderId="8" xfId="2" applyNumberFormat="1" applyFont="1" applyFill="1" applyBorder="1" applyAlignment="1">
      <alignment vertical="center"/>
    </xf>
    <xf numFmtId="165" fontId="29" fillId="0" borderId="0" xfId="2" applyNumberFormat="1" applyFont="1"/>
    <xf numFmtId="165" fontId="29" fillId="0" borderId="9" xfId="2" applyNumberFormat="1" applyFont="1" applyBorder="1"/>
    <xf numFmtId="165" fontId="29" fillId="3" borderId="10" xfId="2" applyNumberFormat="1" applyFont="1" applyFill="1" applyBorder="1" applyAlignment="1">
      <alignment vertical="center"/>
    </xf>
    <xf numFmtId="165" fontId="32" fillId="2" borderId="0" xfId="2" applyNumberFormat="1" applyFont="1" applyFill="1" applyAlignment="1">
      <alignment wrapText="1"/>
    </xf>
    <xf numFmtId="9" fontId="33" fillId="2" borderId="0" xfId="3" applyFont="1" applyFill="1" applyAlignment="1">
      <alignment wrapText="1"/>
    </xf>
    <xf numFmtId="0" fontId="32" fillId="0" borderId="0" xfId="2" applyFont="1"/>
    <xf numFmtId="9" fontId="32" fillId="2" borderId="0" xfId="3" applyFont="1" applyFill="1" applyAlignment="1">
      <alignment wrapText="1"/>
    </xf>
    <xf numFmtId="0" fontId="34" fillId="0" borderId="0" xfId="2" applyFont="1" applyAlignment="1">
      <alignment vertical="center" wrapText="1"/>
    </xf>
    <xf numFmtId="0" fontId="29" fillId="0" borderId="0" xfId="2" applyFont="1" applyAlignment="1">
      <alignment wrapText="1"/>
    </xf>
    <xf numFmtId="0" fontId="29" fillId="3" borderId="8" xfId="2" applyFont="1" applyFill="1" applyBorder="1" applyAlignment="1">
      <alignment horizontal="center" vertical="center" wrapText="1"/>
    </xf>
    <xf numFmtId="0" fontId="29" fillId="0" borderId="0" xfId="0" applyFont="1"/>
    <xf numFmtId="165" fontId="32" fillId="2" borderId="0" xfId="2" applyNumberFormat="1" applyFont="1" applyFill="1"/>
    <xf numFmtId="0" fontId="30" fillId="2" borderId="0" xfId="2" applyFont="1" applyFill="1" applyAlignment="1">
      <alignment horizontal="left" vertical="top"/>
    </xf>
    <xf numFmtId="0" fontId="35" fillId="2" borderId="0" xfId="2" applyFont="1" applyFill="1" applyAlignment="1">
      <alignment horizontal="left" vertical="top" wrapText="1"/>
    </xf>
    <xf numFmtId="0" fontId="35" fillId="0" borderId="0" xfId="2" applyFont="1" applyAlignment="1">
      <alignment horizontal="left" vertical="top" wrapText="1"/>
    </xf>
    <xf numFmtId="0" fontId="36" fillId="2" borderId="0" xfId="1" applyFont="1" applyFill="1" applyAlignment="1" applyProtection="1"/>
    <xf numFmtId="0" fontId="29" fillId="3" borderId="4" xfId="2" applyFont="1" applyFill="1" applyBorder="1" applyAlignment="1">
      <alignment horizontal="center" vertical="center" wrapText="1"/>
    </xf>
    <xf numFmtId="0" fontId="29" fillId="2" borderId="0" xfId="2" applyFont="1" applyFill="1" applyAlignment="1">
      <alignment horizontal="left" vertical="center" wrapText="1"/>
    </xf>
    <xf numFmtId="165" fontId="29" fillId="3" borderId="11" xfId="2" applyNumberFormat="1" applyFont="1" applyFill="1" applyBorder="1" applyAlignment="1">
      <alignment vertical="center"/>
    </xf>
    <xf numFmtId="165" fontId="32" fillId="0" borderId="0" xfId="2" applyNumberFormat="1" applyFont="1"/>
    <xf numFmtId="165" fontId="32" fillId="4" borderId="0" xfId="2" applyNumberFormat="1" applyFont="1" applyFill="1" applyAlignment="1">
      <alignment wrapText="1"/>
    </xf>
    <xf numFmtId="9" fontId="30" fillId="2" borderId="0" xfId="3" applyFont="1" applyFill="1" applyBorder="1" applyAlignment="1">
      <alignment horizontal="left" vertical="top" wrapText="1"/>
    </xf>
    <xf numFmtId="0" fontId="37" fillId="2" borderId="0" xfId="2" applyFont="1" applyFill="1" applyAlignment="1">
      <alignment horizontal="left" vertical="top"/>
    </xf>
    <xf numFmtId="165" fontId="29" fillId="3" borderId="12" xfId="2" applyNumberFormat="1" applyFont="1" applyFill="1" applyBorder="1" applyAlignment="1">
      <alignment vertical="center"/>
    </xf>
    <xf numFmtId="165" fontId="29" fillId="0" borderId="0" xfId="2" applyNumberFormat="1" applyFont="1" applyAlignment="1">
      <alignment vertical="center"/>
    </xf>
    <xf numFmtId="0" fontId="1" fillId="3" borderId="4" xfId="2" applyFill="1" applyBorder="1" applyAlignment="1">
      <alignment wrapText="1"/>
    </xf>
    <xf numFmtId="166" fontId="1" fillId="0" borderId="0" xfId="6" applyNumberFormat="1" applyFont="1"/>
    <xf numFmtId="0" fontId="29" fillId="2" borderId="0" xfId="2" applyFont="1" applyFill="1" applyAlignment="1">
      <alignment vertical="center"/>
    </xf>
    <xf numFmtId="0" fontId="29" fillId="2" borderId="0" xfId="2" applyFont="1" applyFill="1"/>
    <xf numFmtId="0" fontId="32" fillId="2" borderId="0" xfId="2" applyFont="1" applyFill="1"/>
    <xf numFmtId="167" fontId="32" fillId="3" borderId="4" xfId="7" applyNumberFormat="1" applyFont="1" applyFill="1" applyBorder="1" applyAlignment="1">
      <alignment wrapText="1"/>
    </xf>
    <xf numFmtId="0" fontId="29" fillId="3" borderId="10" xfId="2" applyFont="1" applyFill="1" applyBorder="1" applyAlignment="1">
      <alignment horizontal="center" vertical="center" wrapText="1"/>
    </xf>
    <xf numFmtId="167" fontId="29" fillId="3" borderId="4" xfId="7" applyNumberFormat="1" applyFont="1" applyFill="1" applyBorder="1" applyAlignment="1">
      <alignment vertical="center" wrapText="1"/>
    </xf>
    <xf numFmtId="9" fontId="29" fillId="5" borderId="9" xfId="3" applyFont="1" applyFill="1" applyBorder="1" applyAlignment="1">
      <alignment horizontal="right" vertical="center" wrapText="1"/>
    </xf>
    <xf numFmtId="167" fontId="32" fillId="5" borderId="9" xfId="7" applyNumberFormat="1" applyFont="1" applyFill="1" applyBorder="1" applyAlignment="1">
      <alignment vertical="center" wrapText="1"/>
    </xf>
    <xf numFmtId="9" fontId="29" fillId="0" borderId="9" xfId="3" applyFont="1" applyBorder="1" applyAlignment="1">
      <alignment horizontal="right"/>
    </xf>
    <xf numFmtId="9" fontId="29" fillId="3" borderId="10" xfId="3" applyFont="1" applyFill="1" applyBorder="1" applyAlignment="1">
      <alignment vertical="center"/>
    </xf>
    <xf numFmtId="0" fontId="32" fillId="3" borderId="10" xfId="2" applyFont="1" applyFill="1" applyBorder="1" applyAlignment="1">
      <alignment vertical="center"/>
    </xf>
    <xf numFmtId="0" fontId="29" fillId="0" borderId="0" xfId="2" applyFont="1"/>
    <xf numFmtId="0" fontId="16" fillId="0" borderId="0" xfId="0" applyFont="1" applyAlignment="1">
      <alignment horizontal="left" wrapText="1"/>
    </xf>
    <xf numFmtId="0" fontId="16" fillId="0" borderId="0" xfId="0" applyFont="1" applyAlignment="1">
      <alignment horizontal="left"/>
    </xf>
    <xf numFmtId="0" fontId="18" fillId="0" borderId="0" xfId="2" applyFont="1" applyAlignment="1">
      <alignment horizontal="left" vertical="top" wrapText="1"/>
    </xf>
    <xf numFmtId="0" fontId="16" fillId="0" borderId="0" xfId="2" applyFont="1" applyAlignment="1">
      <alignment horizontal="left" vertical="top" wrapText="1"/>
    </xf>
    <xf numFmtId="0" fontId="17" fillId="0" borderId="0" xfId="2" applyFont="1" applyAlignment="1">
      <alignment horizontal="left" vertical="top" wrapText="1"/>
    </xf>
    <xf numFmtId="0" fontId="16" fillId="2" borderId="0" xfId="2" applyFont="1" applyFill="1" applyAlignment="1">
      <alignment horizontal="left" vertical="top" wrapText="1"/>
    </xf>
    <xf numFmtId="0" fontId="2" fillId="2" borderId="1" xfId="2" applyFont="1" applyFill="1" applyBorder="1" applyAlignment="1">
      <alignment vertical="center" wrapText="1"/>
    </xf>
    <xf numFmtId="0" fontId="3" fillId="2" borderId="2" xfId="2" applyFont="1" applyFill="1" applyBorder="1" applyAlignment="1">
      <alignment vertical="center" wrapText="1"/>
    </xf>
    <xf numFmtId="0" fontId="11" fillId="3" borderId="5" xfId="2" applyFont="1" applyFill="1" applyBorder="1" applyAlignment="1">
      <alignment horizontal="center" wrapText="1"/>
    </xf>
    <xf numFmtId="0" fontId="11" fillId="3" borderId="6" xfId="2" applyFont="1" applyFill="1" applyBorder="1" applyAlignment="1">
      <alignment horizontal="center" wrapText="1"/>
    </xf>
    <xf numFmtId="0" fontId="11" fillId="3" borderId="7" xfId="2" applyFont="1" applyFill="1" applyBorder="1" applyAlignment="1">
      <alignment horizontal="center" wrapText="1"/>
    </xf>
    <xf numFmtId="0" fontId="0" fillId="0" borderId="0" xfId="0" applyAlignment="1">
      <alignment horizontal="left" wrapText="1"/>
    </xf>
    <xf numFmtId="0" fontId="1" fillId="0" borderId="0" xfId="0" applyFont="1" applyAlignment="1">
      <alignment horizontal="left"/>
    </xf>
    <xf numFmtId="0" fontId="0" fillId="0" borderId="0" xfId="0" applyAlignment="1">
      <alignment horizontal="left"/>
    </xf>
    <xf numFmtId="0" fontId="1" fillId="2" borderId="0" xfId="2" applyFill="1" applyAlignment="1">
      <alignment horizontal="left" vertical="center" wrapText="1"/>
    </xf>
    <xf numFmtId="0" fontId="19" fillId="0" borderId="0" xfId="2" applyFont="1" applyAlignment="1">
      <alignment horizontal="left" vertical="top" wrapText="1"/>
    </xf>
    <xf numFmtId="0" fontId="1" fillId="2" borderId="0" xfId="2" quotePrefix="1" applyFill="1" applyAlignment="1">
      <alignment horizontal="left" wrapText="1"/>
    </xf>
    <xf numFmtId="0" fontId="29" fillId="3" borderId="5" xfId="2" applyFont="1" applyFill="1" applyBorder="1" applyAlignment="1">
      <alignment horizontal="center"/>
    </xf>
  </cellXfs>
  <cellStyles count="10">
    <cellStyle name="Comma 13 7" xfId="7" xr:uid="{21AD988A-7B37-4EAC-A2D7-22058CA302EE}"/>
    <cellStyle name="Comma 2" xfId="8" xr:uid="{F9F9FE3A-32FD-4D41-89AB-449F4C04E1CF}"/>
    <cellStyle name="Hipervínculo" xfId="1" builtinId="8"/>
    <cellStyle name="Millares" xfId="6" builtinId="3"/>
    <cellStyle name="Normal" xfId="0" builtinId="0"/>
    <cellStyle name="Normal 10" xfId="4" xr:uid="{1E193741-F286-42F2-BAC7-4227F4D925EB}"/>
    <cellStyle name="Normal 12 2" xfId="2" xr:uid="{82E3DA01-6764-4193-9A91-C842355D35CF}"/>
    <cellStyle name="Normal 2 13" xfId="9" xr:uid="{168EF5F3-8483-4DDD-8698-C1F24105B95B}"/>
    <cellStyle name="Normal 3" xfId="5" xr:uid="{D58BA995-4551-44BC-966A-862D21FA8D21}"/>
    <cellStyle name="Percent 2 2 2" xfId="3" xr:uid="{06082F4B-2FB2-46AF-AA6A-4D0ACA854470}"/>
  </cellStyles>
  <dxfs count="8">
    <dxf>
      <font>
        <color theme="1"/>
      </font>
      <fill>
        <patternFill patternType="solid">
          <bgColor rgb="FFEBF7FF"/>
        </patternFill>
      </fill>
    </dxf>
    <dxf>
      <font>
        <color theme="1"/>
      </font>
      <fill>
        <patternFill patternType="solid">
          <bgColor rgb="FFEBF7FF"/>
        </patternFill>
      </fill>
    </dxf>
    <dxf>
      <font>
        <color theme="1"/>
      </font>
      <fill>
        <patternFill patternType="solid">
          <bgColor rgb="FFEBF7FF"/>
        </patternFill>
      </fill>
    </dxf>
    <dxf>
      <font>
        <color theme="1"/>
      </font>
      <fill>
        <patternFill patternType="solid">
          <bgColor rgb="FFEBF7FF"/>
        </patternFill>
      </fill>
    </dxf>
    <dxf>
      <font>
        <color theme="1"/>
      </font>
      <fill>
        <patternFill patternType="solid">
          <bgColor rgb="FFEBF7FF"/>
        </patternFill>
      </fill>
    </dxf>
    <dxf>
      <font>
        <color theme="1"/>
      </font>
      <fill>
        <patternFill patternType="solid">
          <bgColor rgb="FFEBF7FF"/>
        </patternFill>
      </fill>
    </dxf>
    <dxf>
      <fill>
        <patternFill patternType="none">
          <bgColor indexed="65"/>
        </patternFill>
      </fill>
    </dxf>
    <dxf>
      <font>
        <color theme="1"/>
      </font>
      <fill>
        <patternFill patternType="solid">
          <bgColor rgb="FFEBF7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UNHCR_Theme">
  <a:themeElements>
    <a:clrScheme name="UNHCR2016">
      <a:dk1>
        <a:sysClr val="windowText" lastClr="000000"/>
      </a:dk1>
      <a:lt1>
        <a:sysClr val="window" lastClr="FFFFFF"/>
      </a:lt1>
      <a:dk2>
        <a:srgbClr val="FFFFFF"/>
      </a:dk2>
      <a:lt2>
        <a:srgbClr val="0072BC"/>
      </a:lt2>
      <a:accent1>
        <a:srgbClr val="0072BC"/>
      </a:accent1>
      <a:accent2>
        <a:srgbClr val="000000"/>
      </a:accent2>
      <a:accent3>
        <a:srgbClr val="FAEB00"/>
      </a:accent3>
      <a:accent4>
        <a:srgbClr val="17375F"/>
      </a:accent4>
      <a:accent5>
        <a:srgbClr val="08B499"/>
      </a:accent5>
      <a:accent6>
        <a:srgbClr val="EF4960"/>
      </a:accent6>
      <a:hlink>
        <a:srgbClr val="0072BC"/>
      </a:hlink>
      <a:folHlink>
        <a:srgbClr val="0072BC"/>
      </a:folHlink>
    </a:clrScheme>
    <a:fontScheme name="UNHCR2016">
      <a:majorFont>
        <a:latin typeface="Arial"/>
        <a:ea typeface=""/>
        <a:cs typeface=""/>
        <a:font script="Jpan" typeface="HGP明朝E"/>
        <a:font script="Hang" typeface="HY그래픽M"/>
        <a:font script="Hans" typeface="华文新魏"/>
        <a:font script="Hant" typeface="標楷體"/>
        <a:font script="Arab" typeface="Arial"/>
        <a:font script="Hebr" typeface="Arial"/>
        <a:font script="Thai" typeface="Kodchiang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Arial"/>
        <a:ea typeface=""/>
        <a:cs typeface=""/>
        <a:font script="Jpan" typeface="HGP明朝E"/>
        <a:font script="Hang" typeface="HY그래픽M"/>
        <a:font script="Hans" typeface="华文楷体"/>
        <a:font script="Hant" typeface="標楷體"/>
        <a:font script="Arab" typeface="Arial"/>
        <a:font script="Hebr" typeface="Arial"/>
        <a:font script="Thai" typeface="Kodchiang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unhcr.org/refugee-statistics/" TargetMode="External"/><Relationship Id="rId1" Type="http://schemas.openxmlformats.org/officeDocument/2006/relationships/hyperlink" Target="https://www.unhcr.org/refugee-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unhcr.org/refugee-statistics/" TargetMode="External"/><Relationship Id="rId1" Type="http://schemas.openxmlformats.org/officeDocument/2006/relationships/hyperlink" Target="https://www.unhcr.org/refugee-statistics/"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unhcr.org/refugee-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DE0C2-F2B0-4A9C-8ECD-1440C3367723}">
  <sheetPr>
    <tabColor theme="4" tint="0.79998168889431442"/>
    <pageSetUpPr fitToPage="1"/>
  </sheetPr>
  <dimension ref="A1:P270"/>
  <sheetViews>
    <sheetView zoomScaleNormal="100" workbookViewId="0">
      <selection activeCell="L8" sqref="B8:L8"/>
    </sheetView>
  </sheetViews>
  <sheetFormatPr baseColWidth="10" defaultColWidth="10.42578125" defaultRowHeight="11.25" x14ac:dyDescent="0.2"/>
  <cols>
    <col min="1" max="1" width="37.5703125" style="4" customWidth="1"/>
    <col min="2" max="3" width="12.5703125" style="82" customWidth="1"/>
    <col min="4" max="6" width="12.5703125" style="4" customWidth="1"/>
    <col min="7" max="7" width="12.5703125" style="82" customWidth="1"/>
    <col min="8" max="8" width="12.5703125" style="4" customWidth="1"/>
    <col min="9" max="9" width="12.5703125" style="82" customWidth="1"/>
    <col min="10" max="12" width="12.5703125" style="4" customWidth="1"/>
    <col min="13" max="13" width="12.5703125" style="82" customWidth="1"/>
    <col min="14" max="15" width="10.42578125" style="4" hidden="1" customWidth="1"/>
    <col min="16" max="16" width="19" style="4" customWidth="1"/>
    <col min="17" max="17" width="25.140625" style="4" bestFit="1" customWidth="1"/>
    <col min="18" max="16384" width="10.42578125" style="4"/>
  </cols>
  <sheetData>
    <row r="1" spans="1:15" s="1" customFormat="1" ht="44.25" customHeight="1" x14ac:dyDescent="0.2">
      <c r="A1" s="122" t="s">
        <v>481</v>
      </c>
      <c r="B1" s="123"/>
      <c r="C1" s="123"/>
      <c r="D1" s="123"/>
      <c r="E1" s="123"/>
      <c r="F1" s="123"/>
      <c r="G1" s="123"/>
      <c r="H1" s="123"/>
      <c r="I1" s="123"/>
      <c r="J1" s="123"/>
      <c r="K1" s="123"/>
      <c r="L1" s="123"/>
      <c r="M1" s="84"/>
    </row>
    <row r="2" spans="1:15" ht="12.75" x14ac:dyDescent="0.2">
      <c r="A2" s="2" t="s">
        <v>0</v>
      </c>
      <c r="B2" s="71"/>
      <c r="C2" s="71"/>
      <c r="D2" s="3"/>
      <c r="E2" s="3"/>
      <c r="F2" s="3"/>
      <c r="G2" s="71"/>
      <c r="H2" s="3"/>
      <c r="I2" s="71"/>
      <c r="J2" s="3"/>
      <c r="K2" s="3"/>
      <c r="L2" s="3"/>
      <c r="M2" s="85"/>
    </row>
    <row r="3" spans="1:15" ht="12.75" x14ac:dyDescent="0.2">
      <c r="A3" s="5" t="s">
        <v>1</v>
      </c>
      <c r="B3" s="92" t="s">
        <v>2</v>
      </c>
      <c r="C3" s="71"/>
      <c r="D3" s="3"/>
      <c r="E3" s="3"/>
      <c r="F3" s="3"/>
      <c r="G3" s="71"/>
      <c r="H3" s="3"/>
      <c r="I3" s="71"/>
      <c r="J3" s="3"/>
      <c r="K3" s="3"/>
      <c r="L3" s="3"/>
      <c r="M3" s="85"/>
    </row>
    <row r="4" spans="1:15" ht="12.75" x14ac:dyDescent="0.2">
      <c r="A4" s="7" t="s">
        <v>3</v>
      </c>
      <c r="B4" s="92" t="s">
        <v>2</v>
      </c>
      <c r="C4" s="71"/>
      <c r="D4" s="3"/>
      <c r="E4" s="3"/>
      <c r="F4" s="3"/>
      <c r="G4" s="71"/>
      <c r="H4" s="3"/>
      <c r="I4" s="71"/>
      <c r="J4" s="3"/>
      <c r="K4" s="3"/>
      <c r="L4" s="3"/>
      <c r="M4" s="85"/>
    </row>
    <row r="5" spans="1:15" ht="12.75" x14ac:dyDescent="0.2">
      <c r="A5" s="7" t="s">
        <v>4</v>
      </c>
      <c r="B5" s="92"/>
      <c r="C5" s="71"/>
      <c r="D5" s="3"/>
      <c r="E5" s="3"/>
      <c r="F5" s="3"/>
      <c r="G5" s="71"/>
      <c r="H5" s="3"/>
      <c r="I5" s="71"/>
      <c r="J5" s="3"/>
      <c r="K5" s="3"/>
      <c r="L5" s="3"/>
      <c r="M5" s="85"/>
    </row>
    <row r="6" spans="1:15" ht="12.75" x14ac:dyDescent="0.2">
      <c r="A6" s="8"/>
      <c r="B6" s="72"/>
      <c r="C6" s="72"/>
      <c r="D6" s="8"/>
      <c r="E6" s="8"/>
      <c r="F6" s="8"/>
      <c r="G6" s="72"/>
      <c r="H6" s="8"/>
      <c r="I6" s="72"/>
      <c r="J6" s="8"/>
      <c r="K6" s="8"/>
      <c r="L6" s="8"/>
      <c r="M6" s="85"/>
    </row>
    <row r="7" spans="1:15" ht="13.35" customHeight="1" x14ac:dyDescent="0.2">
      <c r="A7" s="9"/>
      <c r="B7" s="124" t="s">
        <v>5</v>
      </c>
      <c r="C7" s="125"/>
      <c r="D7" s="126"/>
      <c r="E7" s="102"/>
      <c r="F7" s="9"/>
      <c r="G7" s="73"/>
      <c r="H7" s="9"/>
      <c r="I7" s="73"/>
      <c r="J7" s="10"/>
      <c r="K7" s="9"/>
      <c r="L7" s="9"/>
      <c r="M7" s="73"/>
    </row>
    <row r="8" spans="1:15" s="15" customFormat="1" ht="80.25" customHeight="1" x14ac:dyDescent="0.2">
      <c r="A8" s="11" t="s">
        <v>6</v>
      </c>
      <c r="B8" s="93" t="s">
        <v>612</v>
      </c>
      <c r="C8" s="93" t="s">
        <v>613</v>
      </c>
      <c r="D8" s="12" t="s">
        <v>7</v>
      </c>
      <c r="E8" s="13" t="s">
        <v>8</v>
      </c>
      <c r="F8" s="13" t="s">
        <v>9</v>
      </c>
      <c r="G8" s="74" t="s">
        <v>610</v>
      </c>
      <c r="H8" s="13" t="s">
        <v>10</v>
      </c>
      <c r="I8" s="74" t="s">
        <v>611</v>
      </c>
      <c r="J8" s="14" t="s">
        <v>11</v>
      </c>
      <c r="K8" s="13" t="s">
        <v>12</v>
      </c>
      <c r="L8" s="13" t="s">
        <v>13</v>
      </c>
      <c r="M8" s="86" t="s">
        <v>14</v>
      </c>
    </row>
    <row r="9" spans="1:15" ht="12.75" x14ac:dyDescent="0.2">
      <c r="A9" t="s">
        <v>15</v>
      </c>
      <c r="B9" s="75">
        <v>34826</v>
      </c>
      <c r="C9" s="75">
        <v>0</v>
      </c>
      <c r="D9" s="37">
        <v>34826</v>
      </c>
      <c r="E9" s="103">
        <v>250</v>
      </c>
      <c r="F9" s="37">
        <v>0</v>
      </c>
      <c r="G9" s="75">
        <v>57530</v>
      </c>
      <c r="H9" s="37">
        <v>3222397</v>
      </c>
      <c r="I9" s="75">
        <v>31605</v>
      </c>
      <c r="J9" s="37">
        <v>0</v>
      </c>
      <c r="K9" s="37">
        <v>33712</v>
      </c>
      <c r="L9" s="37">
        <v>3380320</v>
      </c>
      <c r="M9" s="87" t="s">
        <v>16</v>
      </c>
      <c r="N9" t="s">
        <v>339</v>
      </c>
      <c r="O9" t="s">
        <v>344</v>
      </c>
    </row>
    <row r="10" spans="1:15" ht="12.75" x14ac:dyDescent="0.2">
      <c r="A10" t="s">
        <v>465</v>
      </c>
      <c r="B10" s="75">
        <v>120</v>
      </c>
      <c r="C10" s="75">
        <v>4959</v>
      </c>
      <c r="D10" s="37">
        <v>5079</v>
      </c>
      <c r="E10" s="103">
        <v>8</v>
      </c>
      <c r="F10" s="37">
        <v>0</v>
      </c>
      <c r="G10" s="75">
        <v>0</v>
      </c>
      <c r="H10" s="37">
        <v>0</v>
      </c>
      <c r="I10" s="75">
        <v>0</v>
      </c>
      <c r="J10" s="37">
        <v>2018</v>
      </c>
      <c r="K10" s="37">
        <v>6</v>
      </c>
      <c r="L10" s="37">
        <v>7111</v>
      </c>
      <c r="M10" s="87" t="s">
        <v>17</v>
      </c>
      <c r="N10" t="s">
        <v>340</v>
      </c>
      <c r="O10" t="s">
        <v>340</v>
      </c>
    </row>
    <row r="11" spans="1:15" ht="12.75" x14ac:dyDescent="0.2">
      <c r="A11" t="s">
        <v>466</v>
      </c>
      <c r="B11" s="75">
        <v>98590</v>
      </c>
      <c r="C11" s="75">
        <v>0</v>
      </c>
      <c r="D11" s="37">
        <v>98590</v>
      </c>
      <c r="E11" s="103">
        <v>3601</v>
      </c>
      <c r="F11" s="37">
        <v>0</v>
      </c>
      <c r="G11" s="75">
        <v>0</v>
      </c>
      <c r="H11" s="37">
        <v>0</v>
      </c>
      <c r="I11" s="75">
        <v>0</v>
      </c>
      <c r="J11" s="37">
        <v>0</v>
      </c>
      <c r="K11" s="37">
        <v>0</v>
      </c>
      <c r="L11" s="37">
        <v>102191</v>
      </c>
      <c r="M11" s="87" t="s">
        <v>18</v>
      </c>
      <c r="N11" t="s">
        <v>341</v>
      </c>
      <c r="O11" t="s">
        <v>343</v>
      </c>
    </row>
    <row r="12" spans="1:15" ht="12.75" x14ac:dyDescent="0.2">
      <c r="A12" t="s">
        <v>19</v>
      </c>
      <c r="B12" s="75">
        <v>25174</v>
      </c>
      <c r="C12" s="75">
        <v>0</v>
      </c>
      <c r="D12" s="37">
        <v>25174</v>
      </c>
      <c r="E12" s="103">
        <v>30268</v>
      </c>
      <c r="F12" s="37">
        <v>0</v>
      </c>
      <c r="G12" s="75">
        <v>0</v>
      </c>
      <c r="H12" s="37">
        <v>0</v>
      </c>
      <c r="I12" s="75">
        <v>0</v>
      </c>
      <c r="J12" s="37">
        <v>0</v>
      </c>
      <c r="K12" s="37">
        <v>199</v>
      </c>
      <c r="L12" s="37">
        <v>55641</v>
      </c>
      <c r="M12" s="87" t="s">
        <v>20</v>
      </c>
      <c r="N12" t="s">
        <v>334</v>
      </c>
      <c r="O12" t="s">
        <v>343</v>
      </c>
    </row>
    <row r="13" spans="1:15" ht="12.75" x14ac:dyDescent="0.2">
      <c r="A13" t="s">
        <v>25</v>
      </c>
      <c r="B13" s="75">
        <v>4104</v>
      </c>
      <c r="C13" s="75">
        <v>0</v>
      </c>
      <c r="D13" s="37">
        <v>4104</v>
      </c>
      <c r="E13" s="103">
        <v>7129</v>
      </c>
      <c r="F13" s="37">
        <v>215541</v>
      </c>
      <c r="G13" s="75">
        <v>0</v>
      </c>
      <c r="H13" s="37">
        <v>0</v>
      </c>
      <c r="I13" s="75">
        <v>0</v>
      </c>
      <c r="J13" s="37">
        <v>22</v>
      </c>
      <c r="K13" s="37">
        <v>475</v>
      </c>
      <c r="L13" s="37">
        <v>227271</v>
      </c>
      <c r="M13" s="87" t="s">
        <v>26</v>
      </c>
      <c r="N13" t="s">
        <v>337</v>
      </c>
      <c r="O13" t="s">
        <v>345</v>
      </c>
    </row>
    <row r="14" spans="1:15" ht="12.75" x14ac:dyDescent="0.2">
      <c r="A14" t="s">
        <v>496</v>
      </c>
      <c r="B14" s="75">
        <v>145956</v>
      </c>
      <c r="C14" s="75">
        <v>4124</v>
      </c>
      <c r="D14" s="37">
        <v>150080</v>
      </c>
      <c r="E14" s="103">
        <v>615</v>
      </c>
      <c r="F14" s="37">
        <v>0</v>
      </c>
      <c r="G14" s="75">
        <v>0</v>
      </c>
      <c r="H14" s="37">
        <v>0</v>
      </c>
      <c r="I14" s="75">
        <v>0</v>
      </c>
      <c r="J14" s="37">
        <v>520</v>
      </c>
      <c r="K14" s="37">
        <v>0</v>
      </c>
      <c r="L14" s="37">
        <v>151215</v>
      </c>
      <c r="M14" s="87" t="s">
        <v>28</v>
      </c>
      <c r="N14" t="s">
        <v>340</v>
      </c>
      <c r="O14" t="s">
        <v>344</v>
      </c>
    </row>
    <row r="15" spans="1:15" ht="12.75" x14ac:dyDescent="0.2">
      <c r="A15" t="s">
        <v>29</v>
      </c>
      <c r="B15" s="75">
        <v>0</v>
      </c>
      <c r="C15" s="75">
        <v>0</v>
      </c>
      <c r="D15" s="37">
        <v>0</v>
      </c>
      <c r="E15" s="103">
        <v>0</v>
      </c>
      <c r="F15" s="37">
        <v>17085</v>
      </c>
      <c r="G15" s="75">
        <v>0</v>
      </c>
      <c r="H15" s="37">
        <v>0</v>
      </c>
      <c r="I15" s="75">
        <v>0</v>
      </c>
      <c r="J15" s="37">
        <v>0</v>
      </c>
      <c r="K15" s="37">
        <v>0</v>
      </c>
      <c r="L15" s="37">
        <v>17085</v>
      </c>
      <c r="M15" s="87" t="s">
        <v>30</v>
      </c>
      <c r="N15" t="s">
        <v>337</v>
      </c>
      <c r="O15" t="s">
        <v>346</v>
      </c>
    </row>
    <row r="16" spans="1:15" ht="12.75" x14ac:dyDescent="0.2">
      <c r="A16" t="s">
        <v>497</v>
      </c>
      <c r="B16" s="75">
        <v>34502</v>
      </c>
      <c r="C16" s="75">
        <v>0</v>
      </c>
      <c r="D16" s="37">
        <v>34502</v>
      </c>
      <c r="E16" s="103">
        <v>82625</v>
      </c>
      <c r="F16" s="37">
        <v>0</v>
      </c>
      <c r="G16" s="75">
        <v>0</v>
      </c>
      <c r="H16" s="37">
        <v>0</v>
      </c>
      <c r="I16" s="75">
        <v>0</v>
      </c>
      <c r="J16" s="37">
        <v>8073</v>
      </c>
      <c r="K16" s="37">
        <v>1514</v>
      </c>
      <c r="L16" s="37">
        <v>120880</v>
      </c>
      <c r="M16" s="87" t="s">
        <v>31</v>
      </c>
      <c r="N16" t="s">
        <v>339</v>
      </c>
      <c r="O16" t="s">
        <v>347</v>
      </c>
    </row>
    <row r="17" spans="1:15" ht="12.75" x14ac:dyDescent="0.2">
      <c r="A17" t="s">
        <v>32</v>
      </c>
      <c r="B17" s="75">
        <v>257811</v>
      </c>
      <c r="C17" s="75">
        <v>0</v>
      </c>
      <c r="D17" s="37">
        <v>257811</v>
      </c>
      <c r="E17" s="103">
        <v>38039</v>
      </c>
      <c r="F17" s="37">
        <v>0</v>
      </c>
      <c r="G17" s="75">
        <v>0</v>
      </c>
      <c r="H17" s="37">
        <v>0</v>
      </c>
      <c r="I17" s="75">
        <v>0</v>
      </c>
      <c r="J17" s="37">
        <v>3194</v>
      </c>
      <c r="K17" s="37">
        <v>0</v>
      </c>
      <c r="L17" s="37">
        <v>297234</v>
      </c>
      <c r="M17" s="87" t="s">
        <v>33</v>
      </c>
      <c r="N17" t="s">
        <v>340</v>
      </c>
      <c r="O17" t="s">
        <v>340</v>
      </c>
    </row>
    <row r="18" spans="1:15" ht="12.75" x14ac:dyDescent="0.2">
      <c r="A18" t="s">
        <v>34</v>
      </c>
      <c r="B18" s="75">
        <v>1570</v>
      </c>
      <c r="C18" s="75">
        <v>4201</v>
      </c>
      <c r="D18" s="37">
        <v>5771</v>
      </c>
      <c r="E18" s="103">
        <v>168</v>
      </c>
      <c r="F18" s="37">
        <v>0</v>
      </c>
      <c r="G18" s="75">
        <v>0</v>
      </c>
      <c r="H18" s="37">
        <v>657749</v>
      </c>
      <c r="I18" s="75">
        <v>0</v>
      </c>
      <c r="J18" s="37">
        <v>513</v>
      </c>
      <c r="K18" s="37">
        <v>0</v>
      </c>
      <c r="L18" s="37">
        <v>664201</v>
      </c>
      <c r="M18" s="87" t="s">
        <v>35</v>
      </c>
      <c r="N18" t="s">
        <v>340</v>
      </c>
      <c r="O18" t="s">
        <v>344</v>
      </c>
    </row>
    <row r="19" spans="1:15" ht="12.75" x14ac:dyDescent="0.2">
      <c r="A19" t="s">
        <v>498</v>
      </c>
      <c r="B19" s="75">
        <v>0</v>
      </c>
      <c r="C19" s="75">
        <v>0</v>
      </c>
      <c r="D19" s="37">
        <v>0</v>
      </c>
      <c r="E19" s="103">
        <v>31</v>
      </c>
      <c r="F19" s="37">
        <v>0</v>
      </c>
      <c r="G19" s="75">
        <v>0</v>
      </c>
      <c r="H19" s="37">
        <v>0</v>
      </c>
      <c r="I19" s="75">
        <v>0</v>
      </c>
      <c r="J19" s="37">
        <v>0</v>
      </c>
      <c r="K19" s="37">
        <v>723</v>
      </c>
      <c r="L19" s="37">
        <v>754</v>
      </c>
      <c r="M19" s="87" t="s">
        <v>37</v>
      </c>
      <c r="N19" t="s">
        <v>337</v>
      </c>
      <c r="O19" t="s">
        <v>346</v>
      </c>
    </row>
    <row r="20" spans="1:15" ht="12.75" x14ac:dyDescent="0.2">
      <c r="A20" t="s">
        <v>38</v>
      </c>
      <c r="B20" s="75">
        <v>254</v>
      </c>
      <c r="C20" s="75">
        <v>0</v>
      </c>
      <c r="D20" s="37">
        <v>254</v>
      </c>
      <c r="E20" s="103">
        <v>122</v>
      </c>
      <c r="F20" s="37">
        <v>0</v>
      </c>
      <c r="G20" s="75">
        <v>0</v>
      </c>
      <c r="H20" s="37">
        <v>0</v>
      </c>
      <c r="I20" s="75">
        <v>0</v>
      </c>
      <c r="J20" s="37">
        <v>0</v>
      </c>
      <c r="K20" s="37">
        <v>0</v>
      </c>
      <c r="L20" s="37">
        <v>376</v>
      </c>
      <c r="M20" s="87" t="s">
        <v>39</v>
      </c>
      <c r="N20" t="s">
        <v>341</v>
      </c>
      <c r="O20" t="s">
        <v>344</v>
      </c>
    </row>
    <row r="21" spans="1:15" ht="12.75" x14ac:dyDescent="0.2">
      <c r="A21" t="s">
        <v>40</v>
      </c>
      <c r="B21" s="75">
        <v>971984</v>
      </c>
      <c r="C21" s="75">
        <v>0</v>
      </c>
      <c r="D21" s="37">
        <v>971984</v>
      </c>
      <c r="E21" s="103">
        <v>0</v>
      </c>
      <c r="F21" s="37">
        <v>0</v>
      </c>
      <c r="G21" s="75">
        <v>0</v>
      </c>
      <c r="H21" s="37">
        <v>0</v>
      </c>
      <c r="I21" s="75">
        <v>0</v>
      </c>
      <c r="J21" s="37">
        <v>971898</v>
      </c>
      <c r="K21" s="37">
        <v>0</v>
      </c>
      <c r="L21" s="37">
        <v>971984</v>
      </c>
      <c r="M21" s="87" t="s">
        <v>41</v>
      </c>
      <c r="N21" t="s">
        <v>339</v>
      </c>
      <c r="O21" t="s">
        <v>344</v>
      </c>
    </row>
    <row r="22" spans="1:15" ht="12.75" x14ac:dyDescent="0.2">
      <c r="A22" t="s">
        <v>364</v>
      </c>
      <c r="B22" s="75">
        <v>5</v>
      </c>
      <c r="C22" s="75">
        <v>0</v>
      </c>
      <c r="D22" s="37">
        <v>5</v>
      </c>
      <c r="E22" s="103">
        <v>10</v>
      </c>
      <c r="F22" s="37">
        <v>0</v>
      </c>
      <c r="G22" s="75">
        <v>0</v>
      </c>
      <c r="H22" s="37">
        <v>0</v>
      </c>
      <c r="I22" s="75">
        <v>0</v>
      </c>
      <c r="J22" s="37">
        <v>0</v>
      </c>
      <c r="K22" s="37">
        <v>0</v>
      </c>
      <c r="L22" s="37">
        <v>15</v>
      </c>
      <c r="M22" s="87" t="s">
        <v>365</v>
      </c>
      <c r="N22" t="s">
        <v>337</v>
      </c>
      <c r="O22" t="s">
        <v>346</v>
      </c>
    </row>
    <row r="23" spans="1:15" ht="12.75" x14ac:dyDescent="0.2">
      <c r="A23" t="s">
        <v>42</v>
      </c>
      <c r="B23" s="75">
        <v>3477</v>
      </c>
      <c r="C23" s="75">
        <v>36504</v>
      </c>
      <c r="D23" s="37">
        <v>39981</v>
      </c>
      <c r="E23" s="103">
        <v>405</v>
      </c>
      <c r="F23" s="37">
        <v>0</v>
      </c>
      <c r="G23" s="75">
        <v>0</v>
      </c>
      <c r="H23" s="37">
        <v>0</v>
      </c>
      <c r="I23" s="75">
        <v>0</v>
      </c>
      <c r="J23" s="37">
        <v>5567</v>
      </c>
      <c r="K23" s="37">
        <v>0</v>
      </c>
      <c r="L23" s="37">
        <v>45953</v>
      </c>
      <c r="M23" s="87" t="s">
        <v>43</v>
      </c>
      <c r="N23" t="s">
        <v>340</v>
      </c>
      <c r="O23" t="s">
        <v>340</v>
      </c>
    </row>
    <row r="24" spans="1:15" ht="12.75" x14ac:dyDescent="0.2">
      <c r="A24" t="s">
        <v>44</v>
      </c>
      <c r="B24" s="75">
        <v>167831</v>
      </c>
      <c r="C24" s="75">
        <v>0</v>
      </c>
      <c r="D24" s="37">
        <v>167831</v>
      </c>
      <c r="E24" s="103">
        <v>44600</v>
      </c>
      <c r="F24" s="37">
        <v>0</v>
      </c>
      <c r="G24" s="75">
        <v>0</v>
      </c>
      <c r="H24" s="37">
        <v>0</v>
      </c>
      <c r="I24" s="75">
        <v>0</v>
      </c>
      <c r="J24" s="37">
        <v>936</v>
      </c>
      <c r="K24" s="37">
        <v>679</v>
      </c>
      <c r="L24" s="37">
        <v>213110</v>
      </c>
      <c r="M24" s="87" t="s">
        <v>45</v>
      </c>
      <c r="N24" t="s">
        <v>340</v>
      </c>
      <c r="O24" t="s">
        <v>340</v>
      </c>
    </row>
    <row r="25" spans="1:15" ht="12.75" x14ac:dyDescent="0.2">
      <c r="A25" t="s">
        <v>46</v>
      </c>
      <c r="B25" s="75">
        <v>214</v>
      </c>
      <c r="C25" s="75">
        <v>0</v>
      </c>
      <c r="D25" s="37">
        <v>214</v>
      </c>
      <c r="E25" s="103">
        <v>1973</v>
      </c>
      <c r="F25" s="37">
        <v>0</v>
      </c>
      <c r="G25" s="75">
        <v>0</v>
      </c>
      <c r="H25" s="37">
        <v>0</v>
      </c>
      <c r="I25" s="75">
        <v>0</v>
      </c>
      <c r="J25" s="37">
        <v>0</v>
      </c>
      <c r="K25" s="37">
        <v>9452</v>
      </c>
      <c r="L25" s="37">
        <v>11639</v>
      </c>
      <c r="M25" s="87" t="s">
        <v>47</v>
      </c>
      <c r="N25" t="s">
        <v>337</v>
      </c>
      <c r="O25" t="s">
        <v>345</v>
      </c>
    </row>
    <row r="26" spans="1:15" ht="12.75" x14ac:dyDescent="0.2">
      <c r="A26" t="s">
        <v>48</v>
      </c>
      <c r="B26" s="75">
        <v>2825</v>
      </c>
      <c r="C26" s="75">
        <v>0</v>
      </c>
      <c r="D26" s="37">
        <v>2825</v>
      </c>
      <c r="E26" s="103">
        <v>10133</v>
      </c>
      <c r="F26" s="37">
        <v>0</v>
      </c>
      <c r="G26" s="75">
        <v>0</v>
      </c>
      <c r="H26" s="37">
        <v>8785</v>
      </c>
      <c r="I26" s="75">
        <v>0</v>
      </c>
      <c r="J26" s="37">
        <v>0</v>
      </c>
      <c r="K26" s="37">
        <v>0</v>
      </c>
      <c r="L26" s="37">
        <v>21743</v>
      </c>
      <c r="M26" s="87" t="s">
        <v>49</v>
      </c>
      <c r="N26" t="s">
        <v>335</v>
      </c>
      <c r="O26" t="s">
        <v>343</v>
      </c>
    </row>
    <row r="27" spans="1:15" ht="12.75" x14ac:dyDescent="0.2">
      <c r="A27" t="s">
        <v>368</v>
      </c>
      <c r="B27" s="75">
        <v>1117</v>
      </c>
      <c r="C27" s="75">
        <v>0</v>
      </c>
      <c r="D27" s="37">
        <v>1117</v>
      </c>
      <c r="E27" s="103">
        <v>76</v>
      </c>
      <c r="F27" s="37">
        <v>16103</v>
      </c>
      <c r="G27" s="75">
        <v>0</v>
      </c>
      <c r="H27" s="37">
        <v>0</v>
      </c>
      <c r="I27" s="75">
        <v>0</v>
      </c>
      <c r="J27" s="37">
        <v>0</v>
      </c>
      <c r="K27" s="37">
        <v>0</v>
      </c>
      <c r="L27" s="37">
        <v>17296</v>
      </c>
      <c r="M27" s="87" t="s">
        <v>50</v>
      </c>
      <c r="N27" t="s">
        <v>337</v>
      </c>
      <c r="O27" t="s">
        <v>345</v>
      </c>
    </row>
    <row r="28" spans="1:15" ht="12.75" x14ac:dyDescent="0.2">
      <c r="A28" t="s">
        <v>51</v>
      </c>
      <c r="B28" s="75">
        <v>181</v>
      </c>
      <c r="C28" s="75">
        <v>167</v>
      </c>
      <c r="D28" s="37">
        <v>348</v>
      </c>
      <c r="E28" s="103">
        <v>81</v>
      </c>
      <c r="F28" s="37">
        <v>0</v>
      </c>
      <c r="G28" s="75">
        <v>0</v>
      </c>
      <c r="H28" s="37">
        <v>91223</v>
      </c>
      <c r="I28" s="75">
        <v>0</v>
      </c>
      <c r="J28" s="37">
        <v>21</v>
      </c>
      <c r="K28" s="37">
        <v>2545</v>
      </c>
      <c r="L28" s="37">
        <v>94206</v>
      </c>
      <c r="M28" s="87" t="s">
        <v>52</v>
      </c>
      <c r="N28" t="s">
        <v>340</v>
      </c>
      <c r="O28" t="s">
        <v>340</v>
      </c>
    </row>
    <row r="29" spans="1:15" ht="12.75" x14ac:dyDescent="0.2">
      <c r="A29" t="s">
        <v>53</v>
      </c>
      <c r="B29" s="75">
        <v>761</v>
      </c>
      <c r="C29" s="75">
        <v>0</v>
      </c>
      <c r="D29" s="37">
        <v>761</v>
      </c>
      <c r="E29" s="103">
        <v>97</v>
      </c>
      <c r="F29" s="37">
        <v>0</v>
      </c>
      <c r="G29" s="75">
        <v>0</v>
      </c>
      <c r="H29" s="37">
        <v>0</v>
      </c>
      <c r="I29" s="75">
        <v>0</v>
      </c>
      <c r="J29" s="37">
        <v>0</v>
      </c>
      <c r="K29" s="37">
        <v>71</v>
      </c>
      <c r="L29" s="37">
        <v>929</v>
      </c>
      <c r="M29" s="87" t="s">
        <v>54</v>
      </c>
      <c r="N29" t="s">
        <v>334</v>
      </c>
      <c r="O29" t="s">
        <v>343</v>
      </c>
    </row>
    <row r="30" spans="1:15" ht="12.75" x14ac:dyDescent="0.2">
      <c r="A30" t="s">
        <v>499</v>
      </c>
      <c r="B30" s="75">
        <v>139985</v>
      </c>
      <c r="C30" s="75">
        <v>95780</v>
      </c>
      <c r="D30" s="37">
        <v>235765</v>
      </c>
      <c r="E30" s="103">
        <v>68101</v>
      </c>
      <c r="F30" s="37">
        <v>363081</v>
      </c>
      <c r="G30" s="75">
        <v>0</v>
      </c>
      <c r="H30" s="37">
        <v>0</v>
      </c>
      <c r="I30" s="75">
        <v>0</v>
      </c>
      <c r="J30" s="37">
        <v>5</v>
      </c>
      <c r="K30" s="37">
        <v>0</v>
      </c>
      <c r="L30" s="37">
        <v>666952</v>
      </c>
      <c r="M30" s="87" t="s">
        <v>56</v>
      </c>
      <c r="N30" t="s">
        <v>337</v>
      </c>
      <c r="O30" t="s">
        <v>345</v>
      </c>
    </row>
    <row r="31" spans="1:15" ht="12.75" x14ac:dyDescent="0.2">
      <c r="A31" t="s">
        <v>57</v>
      </c>
      <c r="B31" s="75">
        <v>0</v>
      </c>
      <c r="C31" s="75">
        <v>0</v>
      </c>
      <c r="D31" s="37">
        <v>0</v>
      </c>
      <c r="E31" s="103">
        <v>0</v>
      </c>
      <c r="F31" s="37">
        <v>0</v>
      </c>
      <c r="G31" s="75">
        <v>0</v>
      </c>
      <c r="H31" s="37">
        <v>0</v>
      </c>
      <c r="I31" s="75">
        <v>0</v>
      </c>
      <c r="J31" s="37">
        <v>20863</v>
      </c>
      <c r="K31" s="37">
        <v>0</v>
      </c>
      <c r="L31" s="37">
        <v>20863</v>
      </c>
      <c r="M31" s="87" t="s">
        <v>58</v>
      </c>
      <c r="N31" t="s">
        <v>339</v>
      </c>
      <c r="O31" t="s">
        <v>344</v>
      </c>
    </row>
    <row r="32" spans="1:15" ht="12.75" x14ac:dyDescent="0.2">
      <c r="A32" t="s">
        <v>500</v>
      </c>
      <c r="B32" s="75">
        <v>97618</v>
      </c>
      <c r="C32" s="75">
        <v>0</v>
      </c>
      <c r="D32" s="37">
        <v>97618</v>
      </c>
      <c r="E32" s="103">
        <v>11941</v>
      </c>
      <c r="F32" s="37">
        <v>0</v>
      </c>
      <c r="G32" s="75">
        <v>0</v>
      </c>
      <c r="H32" s="37">
        <v>0</v>
      </c>
      <c r="I32" s="75">
        <v>0</v>
      </c>
      <c r="J32" s="37">
        <v>817</v>
      </c>
      <c r="K32" s="37">
        <v>0</v>
      </c>
      <c r="L32" s="37">
        <v>109601</v>
      </c>
      <c r="M32" s="87" t="s">
        <v>59</v>
      </c>
      <c r="N32" t="s">
        <v>340</v>
      </c>
      <c r="O32" t="s">
        <v>340</v>
      </c>
    </row>
    <row r="33" spans="1:15" ht="12.75" x14ac:dyDescent="0.2">
      <c r="A33" t="s">
        <v>60</v>
      </c>
      <c r="B33" s="75">
        <v>37735</v>
      </c>
      <c r="C33" s="75">
        <v>0</v>
      </c>
      <c r="D33" s="37">
        <v>37735</v>
      </c>
      <c r="E33" s="103">
        <v>1146</v>
      </c>
      <c r="F33" s="37">
        <v>0</v>
      </c>
      <c r="G33" s="75">
        <v>0</v>
      </c>
      <c r="H33" s="37">
        <v>2062534</v>
      </c>
      <c r="I33" s="75">
        <v>0</v>
      </c>
      <c r="J33" s="37">
        <v>0</v>
      </c>
      <c r="K33" s="37">
        <v>0</v>
      </c>
      <c r="L33" s="37">
        <v>2101415</v>
      </c>
      <c r="M33" s="87" t="s">
        <v>61</v>
      </c>
      <c r="N33" t="s">
        <v>335</v>
      </c>
      <c r="O33" t="s">
        <v>343</v>
      </c>
    </row>
    <row r="34" spans="1:15" ht="12.75" x14ac:dyDescent="0.2">
      <c r="A34" t="s">
        <v>62</v>
      </c>
      <c r="B34" s="75">
        <v>85229</v>
      </c>
      <c r="C34" s="75">
        <v>0</v>
      </c>
      <c r="D34" s="37">
        <v>85229</v>
      </c>
      <c r="E34" s="103">
        <v>2270</v>
      </c>
      <c r="F34" s="37">
        <v>0</v>
      </c>
      <c r="G34" s="75">
        <v>26663</v>
      </c>
      <c r="H34" s="37">
        <v>8177</v>
      </c>
      <c r="I34" s="75">
        <v>0</v>
      </c>
      <c r="J34" s="37">
        <v>791</v>
      </c>
      <c r="K34" s="37">
        <v>1292</v>
      </c>
      <c r="L34" s="37">
        <v>124422</v>
      </c>
      <c r="M34" s="87" t="s">
        <v>63</v>
      </c>
      <c r="N34" t="s">
        <v>333</v>
      </c>
      <c r="O34" t="s">
        <v>343</v>
      </c>
    </row>
    <row r="35" spans="1:15" ht="12.75" customHeight="1" x14ac:dyDescent="0.2">
      <c r="A35" t="s">
        <v>64</v>
      </c>
      <c r="B35" s="75">
        <v>0</v>
      </c>
      <c r="C35" s="75">
        <v>0</v>
      </c>
      <c r="D35" s="37">
        <v>0</v>
      </c>
      <c r="E35" s="103">
        <v>0</v>
      </c>
      <c r="F35" s="37">
        <v>0</v>
      </c>
      <c r="G35" s="75">
        <v>0</v>
      </c>
      <c r="H35" s="37">
        <v>0</v>
      </c>
      <c r="I35" s="75">
        <v>0</v>
      </c>
      <c r="J35" s="37">
        <v>115</v>
      </c>
      <c r="K35" s="37">
        <v>0</v>
      </c>
      <c r="L35" s="37">
        <v>115</v>
      </c>
      <c r="M35" s="87" t="s">
        <v>65</v>
      </c>
      <c r="N35" t="s">
        <v>335</v>
      </c>
      <c r="O35" t="s">
        <v>343</v>
      </c>
    </row>
    <row r="36" spans="1:15" ht="12.75" x14ac:dyDescent="0.2">
      <c r="A36" t="s">
        <v>66</v>
      </c>
      <c r="B36" s="75">
        <v>24</v>
      </c>
      <c r="C36" s="75">
        <v>0</v>
      </c>
      <c r="D36" s="37">
        <v>24</v>
      </c>
      <c r="E36" s="103">
        <v>5</v>
      </c>
      <c r="F36" s="37">
        <v>0</v>
      </c>
      <c r="G36" s="75">
        <v>0</v>
      </c>
      <c r="H36" s="37">
        <v>0</v>
      </c>
      <c r="I36" s="75">
        <v>0</v>
      </c>
      <c r="J36" s="37">
        <v>75000</v>
      </c>
      <c r="K36" s="37">
        <v>0</v>
      </c>
      <c r="L36" s="37">
        <v>75029</v>
      </c>
      <c r="M36" s="87" t="s">
        <v>67</v>
      </c>
      <c r="N36" t="s">
        <v>339</v>
      </c>
      <c r="O36" t="s">
        <v>344</v>
      </c>
    </row>
    <row r="37" spans="1:15" ht="12.75" x14ac:dyDescent="0.2">
      <c r="A37" t="s">
        <v>68</v>
      </c>
      <c r="B37" s="75">
        <v>485285</v>
      </c>
      <c r="C37" s="75">
        <v>0</v>
      </c>
      <c r="D37" s="37">
        <v>485285</v>
      </c>
      <c r="E37" s="103">
        <v>10288</v>
      </c>
      <c r="F37" s="37">
        <v>0</v>
      </c>
      <c r="G37" s="75">
        <v>2058</v>
      </c>
      <c r="H37" s="37">
        <v>1075252</v>
      </c>
      <c r="I37" s="75">
        <v>15050</v>
      </c>
      <c r="J37" s="37">
        <v>0</v>
      </c>
      <c r="K37" s="37">
        <v>13827</v>
      </c>
      <c r="L37" s="37">
        <v>1601760</v>
      </c>
      <c r="M37" s="87" t="s">
        <v>69</v>
      </c>
      <c r="N37" t="s">
        <v>335</v>
      </c>
      <c r="O37" t="s">
        <v>343</v>
      </c>
    </row>
    <row r="38" spans="1:15" ht="12.75" x14ac:dyDescent="0.2">
      <c r="A38" t="s">
        <v>501</v>
      </c>
      <c r="B38" s="75">
        <v>94668</v>
      </c>
      <c r="C38" s="75">
        <v>74780</v>
      </c>
      <c r="D38" s="37">
        <v>169448</v>
      </c>
      <c r="E38" s="103">
        <v>197961</v>
      </c>
      <c r="F38" s="37">
        <v>0</v>
      </c>
      <c r="G38" s="75">
        <v>0</v>
      </c>
      <c r="H38" s="37">
        <v>0</v>
      </c>
      <c r="I38" s="75">
        <v>0</v>
      </c>
      <c r="J38" s="37">
        <v>5222</v>
      </c>
      <c r="K38" s="37">
        <v>0</v>
      </c>
      <c r="L38" s="37">
        <v>371844</v>
      </c>
      <c r="M38" s="87" t="s">
        <v>70</v>
      </c>
      <c r="N38" t="s">
        <v>337</v>
      </c>
      <c r="O38" t="s">
        <v>346</v>
      </c>
    </row>
    <row r="39" spans="1:15" ht="12.75" x14ac:dyDescent="0.2">
      <c r="A39" t="s">
        <v>71</v>
      </c>
      <c r="B39" s="75">
        <v>49</v>
      </c>
      <c r="C39" s="75">
        <v>0</v>
      </c>
      <c r="D39" s="37">
        <v>49</v>
      </c>
      <c r="E39" s="103">
        <v>93</v>
      </c>
      <c r="F39" s="37">
        <v>0</v>
      </c>
      <c r="G39" s="75">
        <v>0</v>
      </c>
      <c r="H39" s="37">
        <v>0</v>
      </c>
      <c r="I39" s="75">
        <v>0</v>
      </c>
      <c r="J39" s="37">
        <v>0</v>
      </c>
      <c r="K39" s="37">
        <v>222</v>
      </c>
      <c r="L39" s="37">
        <v>364</v>
      </c>
      <c r="M39" s="87" t="s">
        <v>72</v>
      </c>
      <c r="N39" t="s">
        <v>337</v>
      </c>
      <c r="O39" t="s">
        <v>346</v>
      </c>
    </row>
    <row r="40" spans="1:15" ht="12.75" x14ac:dyDescent="0.2">
      <c r="A40" t="s">
        <v>73</v>
      </c>
      <c r="B40" s="75">
        <v>32913</v>
      </c>
      <c r="C40" s="75">
        <v>0</v>
      </c>
      <c r="D40" s="37">
        <v>32913</v>
      </c>
      <c r="E40" s="103">
        <v>32506</v>
      </c>
      <c r="F40" s="37">
        <v>0</v>
      </c>
      <c r="G40" s="75">
        <v>14449</v>
      </c>
      <c r="H40" s="37">
        <v>511803</v>
      </c>
      <c r="I40" s="75">
        <v>325938</v>
      </c>
      <c r="J40" s="37">
        <v>0</v>
      </c>
      <c r="K40" s="37">
        <v>0</v>
      </c>
      <c r="L40" s="37">
        <v>917609</v>
      </c>
      <c r="M40" s="87" t="s">
        <v>74</v>
      </c>
      <c r="N40" t="s">
        <v>335</v>
      </c>
      <c r="O40" t="s">
        <v>343</v>
      </c>
    </row>
    <row r="41" spans="1:15" ht="12.75" x14ac:dyDescent="0.2">
      <c r="A41" t="s">
        <v>75</v>
      </c>
      <c r="B41" s="75">
        <v>1100921</v>
      </c>
      <c r="C41" s="75">
        <v>0</v>
      </c>
      <c r="D41" s="37">
        <v>1100921</v>
      </c>
      <c r="E41" s="103">
        <v>4916</v>
      </c>
      <c r="F41" s="37">
        <v>0</v>
      </c>
      <c r="G41" s="75">
        <v>0</v>
      </c>
      <c r="H41" s="37">
        <v>215928</v>
      </c>
      <c r="I41" s="75">
        <v>0</v>
      </c>
      <c r="J41" s="37">
        <v>0</v>
      </c>
      <c r="K41" s="37">
        <v>100543</v>
      </c>
      <c r="L41" s="37">
        <v>1422308</v>
      </c>
      <c r="M41" s="87" t="s">
        <v>76</v>
      </c>
      <c r="N41" t="s">
        <v>335</v>
      </c>
      <c r="O41" t="s">
        <v>343</v>
      </c>
    </row>
    <row r="42" spans="1:15" ht="12.75" x14ac:dyDescent="0.2">
      <c r="A42" t="s">
        <v>502</v>
      </c>
      <c r="B42" s="75">
        <v>2338</v>
      </c>
      <c r="C42" s="75">
        <v>0</v>
      </c>
      <c r="D42" s="37">
        <v>2338</v>
      </c>
      <c r="E42" s="103">
        <v>12694</v>
      </c>
      <c r="F42" s="37">
        <v>435728</v>
      </c>
      <c r="G42" s="75">
        <v>0</v>
      </c>
      <c r="H42" s="37">
        <v>0</v>
      </c>
      <c r="I42" s="75">
        <v>0</v>
      </c>
      <c r="J42" s="37">
        <v>1708</v>
      </c>
      <c r="K42" s="37">
        <v>1708</v>
      </c>
      <c r="L42" s="37">
        <v>454176</v>
      </c>
      <c r="M42" s="87" t="s">
        <v>77</v>
      </c>
      <c r="N42" t="s">
        <v>337</v>
      </c>
      <c r="O42" t="s">
        <v>345</v>
      </c>
    </row>
    <row r="43" spans="1:15" ht="12.75" x14ac:dyDescent="0.2">
      <c r="A43" t="s">
        <v>372</v>
      </c>
      <c r="B43" s="75">
        <v>296</v>
      </c>
      <c r="C43" s="75">
        <v>0</v>
      </c>
      <c r="D43" s="37">
        <v>296</v>
      </c>
      <c r="E43" s="103">
        <v>699</v>
      </c>
      <c r="F43" s="37">
        <v>0</v>
      </c>
      <c r="G43" s="75">
        <v>0</v>
      </c>
      <c r="H43" s="37">
        <v>0</v>
      </c>
      <c r="I43" s="75">
        <v>0</v>
      </c>
      <c r="J43" s="37">
        <v>0</v>
      </c>
      <c r="K43" s="37">
        <v>0</v>
      </c>
      <c r="L43" s="37">
        <v>995</v>
      </c>
      <c r="M43" s="87" t="s">
        <v>80</v>
      </c>
      <c r="N43" t="s">
        <v>339</v>
      </c>
      <c r="O43" t="s">
        <v>344</v>
      </c>
    </row>
    <row r="44" spans="1:15" ht="12.75" x14ac:dyDescent="0.2">
      <c r="A44" t="s">
        <v>78</v>
      </c>
      <c r="B44" s="75">
        <v>0</v>
      </c>
      <c r="C44" s="75">
        <v>301</v>
      </c>
      <c r="D44" s="37">
        <v>301</v>
      </c>
      <c r="E44" s="103">
        <v>0</v>
      </c>
      <c r="F44" s="37">
        <v>0</v>
      </c>
      <c r="G44" s="75">
        <v>0</v>
      </c>
      <c r="H44" s="37">
        <v>0</v>
      </c>
      <c r="I44" s="75">
        <v>0</v>
      </c>
      <c r="J44" s="37">
        <v>0</v>
      </c>
      <c r="K44" s="37">
        <v>0</v>
      </c>
      <c r="L44" s="37">
        <v>301</v>
      </c>
      <c r="M44" s="87" t="s">
        <v>79</v>
      </c>
      <c r="N44" t="s">
        <v>339</v>
      </c>
      <c r="O44" t="s">
        <v>344</v>
      </c>
    </row>
    <row r="45" spans="1:15" ht="12.75" x14ac:dyDescent="0.2">
      <c r="A45" t="s">
        <v>503</v>
      </c>
      <c r="B45" s="75">
        <v>1382</v>
      </c>
      <c r="C45" s="75">
        <v>0</v>
      </c>
      <c r="D45" s="37">
        <v>1382</v>
      </c>
      <c r="E45" s="103">
        <v>23842</v>
      </c>
      <c r="F45" s="37">
        <v>2851160</v>
      </c>
      <c r="G45" s="75">
        <v>5</v>
      </c>
      <c r="H45" s="37">
        <v>6918373</v>
      </c>
      <c r="I45" s="75">
        <v>0</v>
      </c>
      <c r="J45" s="37">
        <v>0</v>
      </c>
      <c r="K45" s="37">
        <v>516614</v>
      </c>
      <c r="L45" s="37">
        <v>10311376</v>
      </c>
      <c r="M45" s="87" t="s">
        <v>81</v>
      </c>
      <c r="N45" t="s">
        <v>337</v>
      </c>
      <c r="O45" t="s">
        <v>345</v>
      </c>
    </row>
    <row r="46" spans="1:15" ht="12.75" x14ac:dyDescent="0.2">
      <c r="A46" t="s">
        <v>82</v>
      </c>
      <c r="B46" s="75">
        <v>10</v>
      </c>
      <c r="C46" s="75">
        <v>0</v>
      </c>
      <c r="D46" s="37">
        <v>10</v>
      </c>
      <c r="E46" s="103">
        <v>0</v>
      </c>
      <c r="F46" s="37">
        <v>0</v>
      </c>
      <c r="G46" s="75">
        <v>0</v>
      </c>
      <c r="H46" s="37">
        <v>0</v>
      </c>
      <c r="I46" s="75">
        <v>0</v>
      </c>
      <c r="J46" s="37">
        <v>0</v>
      </c>
      <c r="K46" s="37">
        <v>0</v>
      </c>
      <c r="L46" s="37">
        <v>10</v>
      </c>
      <c r="M46" s="87" t="s">
        <v>83</v>
      </c>
      <c r="N46" t="s">
        <v>334</v>
      </c>
      <c r="O46" t="s">
        <v>343</v>
      </c>
    </row>
    <row r="47" spans="1:15" ht="12.75" x14ac:dyDescent="0.2">
      <c r="A47" t="s">
        <v>84</v>
      </c>
      <c r="B47" s="75">
        <v>60637</v>
      </c>
      <c r="C47" s="75">
        <v>0</v>
      </c>
      <c r="D47" s="37">
        <v>60637</v>
      </c>
      <c r="E47" s="103">
        <v>6585</v>
      </c>
      <c r="F47" s="37">
        <v>0</v>
      </c>
      <c r="G47" s="75">
        <v>0</v>
      </c>
      <c r="H47" s="37">
        <v>0</v>
      </c>
      <c r="I47" s="75">
        <v>0</v>
      </c>
      <c r="J47" s="37">
        <v>0</v>
      </c>
      <c r="K47" s="37">
        <v>12545</v>
      </c>
      <c r="L47" s="37">
        <v>79767</v>
      </c>
      <c r="M47" s="87" t="s">
        <v>85</v>
      </c>
      <c r="N47" t="s">
        <v>334</v>
      </c>
      <c r="O47" t="s">
        <v>343</v>
      </c>
    </row>
    <row r="48" spans="1:15" ht="12.75" x14ac:dyDescent="0.2">
      <c r="A48" t="s">
        <v>375</v>
      </c>
      <c r="B48" s="75">
        <v>17127</v>
      </c>
      <c r="C48" s="75">
        <v>6295</v>
      </c>
      <c r="D48" s="37">
        <v>23422</v>
      </c>
      <c r="E48" s="103">
        <v>193718</v>
      </c>
      <c r="F48" s="37">
        <v>18448</v>
      </c>
      <c r="G48" s="75">
        <v>0</v>
      </c>
      <c r="H48" s="37">
        <v>0</v>
      </c>
      <c r="I48" s="75">
        <v>0</v>
      </c>
      <c r="J48" s="37">
        <v>327</v>
      </c>
      <c r="K48" s="37">
        <v>32853</v>
      </c>
      <c r="L48" s="37">
        <v>268753</v>
      </c>
      <c r="M48" s="87" t="s">
        <v>86</v>
      </c>
      <c r="N48" t="s">
        <v>337</v>
      </c>
      <c r="O48" t="s">
        <v>345</v>
      </c>
    </row>
    <row r="49" spans="1:15" ht="12.75" x14ac:dyDescent="0.2">
      <c r="A49" t="s">
        <v>88</v>
      </c>
      <c r="B49" s="75">
        <v>25029</v>
      </c>
      <c r="C49" s="75">
        <v>0</v>
      </c>
      <c r="D49" s="37">
        <v>25029</v>
      </c>
      <c r="E49" s="103">
        <v>1597</v>
      </c>
      <c r="F49" s="37">
        <v>0</v>
      </c>
      <c r="G49" s="75">
        <v>0</v>
      </c>
      <c r="H49" s="37">
        <v>0</v>
      </c>
      <c r="I49" s="75">
        <v>0</v>
      </c>
      <c r="J49" s="37">
        <v>742</v>
      </c>
      <c r="K49" s="37">
        <v>202</v>
      </c>
      <c r="L49" s="37">
        <v>27557</v>
      </c>
      <c r="M49" s="87" t="s">
        <v>89</v>
      </c>
      <c r="N49" t="s">
        <v>340</v>
      </c>
      <c r="O49" t="s">
        <v>340</v>
      </c>
    </row>
    <row r="50" spans="1:15" ht="12.75" x14ac:dyDescent="0.2">
      <c r="A50" t="s">
        <v>90</v>
      </c>
      <c r="B50" s="75">
        <v>136</v>
      </c>
      <c r="C50" s="75">
        <v>0</v>
      </c>
      <c r="D50" s="37">
        <v>136</v>
      </c>
      <c r="E50" s="103">
        <v>25</v>
      </c>
      <c r="F50" s="37">
        <v>0</v>
      </c>
      <c r="G50" s="75">
        <v>0</v>
      </c>
      <c r="H50" s="37">
        <v>0</v>
      </c>
      <c r="I50" s="75">
        <v>0</v>
      </c>
      <c r="J50" s="37">
        <v>0</v>
      </c>
      <c r="K50" s="37">
        <v>6</v>
      </c>
      <c r="L50" s="37">
        <v>167</v>
      </c>
      <c r="M50" s="87" t="s">
        <v>91</v>
      </c>
      <c r="N50" t="s">
        <v>337</v>
      </c>
      <c r="O50" t="s">
        <v>345</v>
      </c>
    </row>
    <row r="51" spans="1:15" ht="12.75" x14ac:dyDescent="0.2">
      <c r="A51" t="s">
        <v>504</v>
      </c>
      <c r="B51" s="75">
        <v>0</v>
      </c>
      <c r="C51" s="75">
        <v>0</v>
      </c>
      <c r="D51" s="37">
        <v>0</v>
      </c>
      <c r="E51" s="103">
        <v>0</v>
      </c>
      <c r="F51" s="37">
        <v>14000</v>
      </c>
      <c r="G51" s="75">
        <v>0</v>
      </c>
      <c r="H51" s="37">
        <v>0</v>
      </c>
      <c r="I51" s="75">
        <v>0</v>
      </c>
      <c r="J51" s="37">
        <v>0</v>
      </c>
      <c r="K51" s="37">
        <v>0</v>
      </c>
      <c r="L51" s="37">
        <v>14000</v>
      </c>
      <c r="M51" s="87" t="s">
        <v>93</v>
      </c>
      <c r="N51" t="s">
        <v>337</v>
      </c>
      <c r="O51" t="s">
        <v>346</v>
      </c>
    </row>
    <row r="52" spans="1:15" ht="12.75" x14ac:dyDescent="0.2">
      <c r="A52" t="s">
        <v>94</v>
      </c>
      <c r="B52" s="75">
        <v>38918</v>
      </c>
      <c r="C52" s="75">
        <v>126</v>
      </c>
      <c r="D52" s="37">
        <v>39044</v>
      </c>
      <c r="E52" s="103">
        <v>31664</v>
      </c>
      <c r="F52" s="37">
        <v>0</v>
      </c>
      <c r="G52" s="75">
        <v>0</v>
      </c>
      <c r="H52" s="37">
        <v>0</v>
      </c>
      <c r="I52" s="75">
        <v>0</v>
      </c>
      <c r="J52" s="37">
        <v>86</v>
      </c>
      <c r="K52" s="37">
        <v>0</v>
      </c>
      <c r="L52" s="37">
        <v>70708</v>
      </c>
      <c r="M52" s="87" t="s">
        <v>95</v>
      </c>
      <c r="N52" t="s">
        <v>340</v>
      </c>
      <c r="O52" t="s">
        <v>344</v>
      </c>
    </row>
    <row r="53" spans="1:15" ht="12.75" x14ac:dyDescent="0.2">
      <c r="A53" t="s">
        <v>96</v>
      </c>
      <c r="B53" s="75">
        <v>377120</v>
      </c>
      <c r="C53" s="75">
        <v>0</v>
      </c>
      <c r="D53" s="37">
        <v>377120</v>
      </c>
      <c r="E53" s="103">
        <v>1239</v>
      </c>
      <c r="F53" s="37">
        <v>0</v>
      </c>
      <c r="G53" s="75">
        <v>0</v>
      </c>
      <c r="H53" s="37">
        <v>0</v>
      </c>
      <c r="I53" s="75">
        <v>0</v>
      </c>
      <c r="J53" s="37">
        <v>1611</v>
      </c>
      <c r="K53" s="37">
        <v>537</v>
      </c>
      <c r="L53" s="37">
        <v>379850</v>
      </c>
      <c r="M53" s="87" t="s">
        <v>97</v>
      </c>
      <c r="N53" t="s">
        <v>340</v>
      </c>
      <c r="O53" t="s">
        <v>340</v>
      </c>
    </row>
    <row r="54" spans="1:15" ht="12.75" x14ac:dyDescent="0.2">
      <c r="A54" t="s">
        <v>505</v>
      </c>
      <c r="B54" s="75">
        <v>2370</v>
      </c>
      <c r="C54" s="75">
        <v>0</v>
      </c>
      <c r="D54" s="37">
        <v>2370</v>
      </c>
      <c r="E54" s="103">
        <v>37460</v>
      </c>
      <c r="F54" s="37">
        <v>0</v>
      </c>
      <c r="G54" s="75">
        <v>27</v>
      </c>
      <c r="H54" s="37">
        <v>0</v>
      </c>
      <c r="I54" s="75">
        <v>0</v>
      </c>
      <c r="J54" s="37">
        <v>930978</v>
      </c>
      <c r="K54" s="37">
        <v>0</v>
      </c>
      <c r="L54" s="37">
        <v>970835</v>
      </c>
      <c r="M54" s="87" t="s">
        <v>87</v>
      </c>
      <c r="N54" t="s">
        <v>335</v>
      </c>
      <c r="O54" t="s">
        <v>343</v>
      </c>
    </row>
    <row r="55" spans="1:15" ht="12.75" x14ac:dyDescent="0.2">
      <c r="A55" t="s">
        <v>506</v>
      </c>
      <c r="B55" s="75">
        <v>523392</v>
      </c>
      <c r="C55" s="75">
        <v>0</v>
      </c>
      <c r="D55" s="37">
        <v>523392</v>
      </c>
      <c r="E55" s="103">
        <v>3106</v>
      </c>
      <c r="F55" s="37">
        <v>0</v>
      </c>
      <c r="G55" s="75">
        <v>1808</v>
      </c>
      <c r="H55" s="37">
        <v>6251790</v>
      </c>
      <c r="I55" s="75">
        <v>1833092</v>
      </c>
      <c r="J55" s="37">
        <v>0</v>
      </c>
      <c r="K55" s="37">
        <v>61</v>
      </c>
      <c r="L55" s="37">
        <v>8613249</v>
      </c>
      <c r="M55" s="87" t="s">
        <v>98</v>
      </c>
      <c r="N55" t="s">
        <v>334</v>
      </c>
      <c r="O55" t="s">
        <v>343</v>
      </c>
    </row>
    <row r="56" spans="1:15" ht="12.75" x14ac:dyDescent="0.2">
      <c r="A56" t="s">
        <v>507</v>
      </c>
      <c r="B56" s="75">
        <v>68912</v>
      </c>
      <c r="C56" s="75">
        <v>0</v>
      </c>
      <c r="D56" s="37">
        <v>68912</v>
      </c>
      <c r="E56" s="103">
        <v>2356</v>
      </c>
      <c r="F56" s="37">
        <v>0</v>
      </c>
      <c r="G56" s="75">
        <v>0</v>
      </c>
      <c r="H56" s="37">
        <v>0</v>
      </c>
      <c r="I56" s="75">
        <v>0</v>
      </c>
      <c r="J56" s="37">
        <v>8657</v>
      </c>
      <c r="K56" s="37">
        <v>0</v>
      </c>
      <c r="L56" s="37">
        <v>77201</v>
      </c>
      <c r="M56" s="87" t="s">
        <v>100</v>
      </c>
      <c r="N56" t="s">
        <v>340</v>
      </c>
      <c r="O56" t="s">
        <v>340</v>
      </c>
    </row>
    <row r="57" spans="1:15" ht="12.75" x14ac:dyDescent="0.2">
      <c r="A57" t="s">
        <v>101</v>
      </c>
      <c r="B57" s="75">
        <v>23063</v>
      </c>
      <c r="C57" s="75">
        <v>0</v>
      </c>
      <c r="D57" s="37">
        <v>23063</v>
      </c>
      <c r="E57" s="103">
        <v>8442</v>
      </c>
      <c r="F57" s="37">
        <v>0</v>
      </c>
      <c r="G57" s="75">
        <v>0</v>
      </c>
      <c r="H57" s="37">
        <v>0</v>
      </c>
      <c r="I57" s="75">
        <v>0</v>
      </c>
      <c r="J57" s="37">
        <v>0</v>
      </c>
      <c r="K57" s="37">
        <v>0</v>
      </c>
      <c r="L57" s="37">
        <v>31505</v>
      </c>
      <c r="M57" s="87" t="s">
        <v>102</v>
      </c>
      <c r="N57" t="s">
        <v>333</v>
      </c>
      <c r="O57" t="s">
        <v>343</v>
      </c>
    </row>
    <row r="58" spans="1:15" ht="12.75" x14ac:dyDescent="0.2">
      <c r="A58" t="s">
        <v>508</v>
      </c>
      <c r="B58" s="75">
        <v>778</v>
      </c>
      <c r="C58" s="75">
        <v>0</v>
      </c>
      <c r="D58" s="37">
        <v>778</v>
      </c>
      <c r="E58" s="103">
        <v>4185</v>
      </c>
      <c r="F58" s="37">
        <v>121841</v>
      </c>
      <c r="G58" s="75">
        <v>0</v>
      </c>
      <c r="H58" s="37">
        <v>0</v>
      </c>
      <c r="I58" s="75">
        <v>0</v>
      </c>
      <c r="J58" s="37">
        <v>0</v>
      </c>
      <c r="K58" s="37">
        <v>0</v>
      </c>
      <c r="L58" s="37">
        <v>126804</v>
      </c>
      <c r="M58" s="87" t="s">
        <v>103</v>
      </c>
      <c r="N58" t="s">
        <v>337</v>
      </c>
      <c r="O58" t="s">
        <v>346</v>
      </c>
    </row>
    <row r="59" spans="1:15" ht="12.75" x14ac:dyDescent="0.2">
      <c r="A59" t="s">
        <v>104</v>
      </c>
      <c r="B59" s="75">
        <v>62899</v>
      </c>
      <c r="C59" s="75">
        <v>0</v>
      </c>
      <c r="D59" s="37">
        <v>62899</v>
      </c>
      <c r="E59" s="103">
        <v>7700</v>
      </c>
      <c r="F59" s="37">
        <v>469441</v>
      </c>
      <c r="G59" s="75">
        <v>0</v>
      </c>
      <c r="H59" s="37">
        <v>0</v>
      </c>
      <c r="I59" s="75">
        <v>0</v>
      </c>
      <c r="J59" s="37">
        <v>0</v>
      </c>
      <c r="K59" s="37">
        <v>0</v>
      </c>
      <c r="L59" s="37">
        <v>540040</v>
      </c>
      <c r="M59" s="87" t="s">
        <v>105</v>
      </c>
      <c r="N59" t="s">
        <v>337</v>
      </c>
      <c r="O59" t="s">
        <v>345</v>
      </c>
    </row>
    <row r="60" spans="1:15" ht="12.75" x14ac:dyDescent="0.2">
      <c r="A60" t="s">
        <v>509</v>
      </c>
      <c r="B60" s="75">
        <v>240507</v>
      </c>
      <c r="C60" s="75">
        <v>0</v>
      </c>
      <c r="D60" s="37">
        <v>240507</v>
      </c>
      <c r="E60" s="103">
        <v>232244</v>
      </c>
      <c r="F60" s="37">
        <v>0</v>
      </c>
      <c r="G60" s="75">
        <v>0</v>
      </c>
      <c r="H60" s="37">
        <v>0</v>
      </c>
      <c r="I60" s="75">
        <v>0</v>
      </c>
      <c r="J60" s="37">
        <v>10</v>
      </c>
      <c r="K60" s="37">
        <v>0</v>
      </c>
      <c r="L60" s="37">
        <v>472756</v>
      </c>
      <c r="M60" s="87" t="s">
        <v>107</v>
      </c>
      <c r="N60" t="s">
        <v>341</v>
      </c>
      <c r="O60" t="s">
        <v>343</v>
      </c>
    </row>
    <row r="61" spans="1:15" ht="12.75" x14ac:dyDescent="0.2">
      <c r="A61" t="s">
        <v>108</v>
      </c>
      <c r="B61" s="75">
        <v>106</v>
      </c>
      <c r="C61" s="75">
        <v>0</v>
      </c>
      <c r="D61" s="37">
        <v>106</v>
      </c>
      <c r="E61" s="103">
        <v>263</v>
      </c>
      <c r="F61" s="37">
        <v>0</v>
      </c>
      <c r="G61" s="75">
        <v>0</v>
      </c>
      <c r="H61" s="37">
        <v>71500</v>
      </c>
      <c r="I61" s="75">
        <v>0</v>
      </c>
      <c r="J61" s="37">
        <v>0</v>
      </c>
      <c r="K61" s="37">
        <v>118591</v>
      </c>
      <c r="L61" s="37">
        <v>190460</v>
      </c>
      <c r="M61" s="87" t="s">
        <v>109</v>
      </c>
      <c r="N61" t="s">
        <v>337</v>
      </c>
      <c r="O61" t="s">
        <v>345</v>
      </c>
    </row>
    <row r="62" spans="1:15" ht="12.75" x14ac:dyDescent="0.2">
      <c r="A62" t="s">
        <v>110</v>
      </c>
      <c r="B62" s="75">
        <v>119</v>
      </c>
      <c r="C62" s="75">
        <v>0</v>
      </c>
      <c r="D62" s="37">
        <v>119</v>
      </c>
      <c r="E62" s="103">
        <v>0</v>
      </c>
      <c r="F62" s="37">
        <v>0</v>
      </c>
      <c r="G62" s="75">
        <v>0</v>
      </c>
      <c r="H62" s="37">
        <v>0</v>
      </c>
      <c r="I62" s="75">
        <v>0</v>
      </c>
      <c r="J62" s="37">
        <v>0</v>
      </c>
      <c r="K62" s="37">
        <v>18</v>
      </c>
      <c r="L62" s="37">
        <v>137</v>
      </c>
      <c r="M62" s="87" t="s">
        <v>111</v>
      </c>
      <c r="N62" t="s">
        <v>333</v>
      </c>
      <c r="O62" t="s">
        <v>343</v>
      </c>
    </row>
    <row r="63" spans="1:15" ht="12.75" x14ac:dyDescent="0.2">
      <c r="A63" t="s">
        <v>510</v>
      </c>
      <c r="B63" s="75">
        <v>42005</v>
      </c>
      <c r="C63" s="75">
        <v>0</v>
      </c>
      <c r="D63" s="37">
        <v>42005</v>
      </c>
      <c r="E63" s="103">
        <v>346</v>
      </c>
      <c r="F63" s="37">
        <v>0</v>
      </c>
      <c r="G63" s="75">
        <v>0</v>
      </c>
      <c r="H63" s="37">
        <v>0</v>
      </c>
      <c r="I63" s="75">
        <v>0</v>
      </c>
      <c r="J63" s="37">
        <v>65944</v>
      </c>
      <c r="K63" s="37">
        <v>0</v>
      </c>
      <c r="L63" s="37">
        <v>108287</v>
      </c>
      <c r="M63" s="87" t="s">
        <v>112</v>
      </c>
      <c r="N63" t="s">
        <v>340</v>
      </c>
      <c r="O63" t="s">
        <v>340</v>
      </c>
    </row>
    <row r="64" spans="1:15" ht="12.75" x14ac:dyDescent="0.2">
      <c r="A64" t="s">
        <v>113</v>
      </c>
      <c r="B64" s="75">
        <v>1202</v>
      </c>
      <c r="C64" s="75">
        <v>0</v>
      </c>
      <c r="D64" s="37">
        <v>1202</v>
      </c>
      <c r="E64" s="103">
        <v>1772</v>
      </c>
      <c r="F64" s="37">
        <v>0</v>
      </c>
      <c r="G64" s="75">
        <v>0</v>
      </c>
      <c r="H64" s="37">
        <v>0</v>
      </c>
      <c r="I64" s="75">
        <v>0</v>
      </c>
      <c r="J64" s="37">
        <v>0</v>
      </c>
      <c r="K64" s="37">
        <v>12</v>
      </c>
      <c r="L64" s="37">
        <v>2986</v>
      </c>
      <c r="M64" s="87" t="s">
        <v>114</v>
      </c>
      <c r="N64" t="s">
        <v>334</v>
      </c>
      <c r="O64" t="s">
        <v>343</v>
      </c>
    </row>
    <row r="65" spans="1:15" ht="12.75" x14ac:dyDescent="0.2">
      <c r="A65" t="s">
        <v>511</v>
      </c>
      <c r="B65" s="75">
        <v>979846</v>
      </c>
      <c r="C65" s="75">
        <v>0</v>
      </c>
      <c r="D65" s="37">
        <v>979846</v>
      </c>
      <c r="E65" s="103">
        <v>63747</v>
      </c>
      <c r="F65" s="37">
        <v>0</v>
      </c>
      <c r="G65" s="75">
        <v>6187</v>
      </c>
      <c r="H65" s="37">
        <v>2561497</v>
      </c>
      <c r="I65" s="75">
        <v>534293</v>
      </c>
      <c r="J65" s="37">
        <v>0</v>
      </c>
      <c r="K65" s="37">
        <v>604</v>
      </c>
      <c r="L65" s="37">
        <v>4146174</v>
      </c>
      <c r="M65" s="87" t="s">
        <v>116</v>
      </c>
      <c r="N65" t="s">
        <v>333</v>
      </c>
      <c r="O65" t="s">
        <v>343</v>
      </c>
    </row>
    <row r="66" spans="1:15" ht="12.75" x14ac:dyDescent="0.2">
      <c r="A66" t="s">
        <v>117</v>
      </c>
      <c r="B66" s="75">
        <v>15</v>
      </c>
      <c r="C66" s="75">
        <v>0</v>
      </c>
      <c r="D66" s="37">
        <v>15</v>
      </c>
      <c r="E66" s="103">
        <v>0</v>
      </c>
      <c r="F66" s="37">
        <v>0</v>
      </c>
      <c r="G66" s="75">
        <v>0</v>
      </c>
      <c r="H66" s="37">
        <v>0</v>
      </c>
      <c r="I66" s="75">
        <v>0</v>
      </c>
      <c r="J66" s="37">
        <v>0</v>
      </c>
      <c r="K66" s="37">
        <v>0</v>
      </c>
      <c r="L66" s="37">
        <v>15</v>
      </c>
      <c r="M66" s="87" t="s">
        <v>118</v>
      </c>
      <c r="N66" t="s">
        <v>339</v>
      </c>
      <c r="O66" t="s">
        <v>347</v>
      </c>
    </row>
    <row r="67" spans="1:15" ht="12.75" x14ac:dyDescent="0.2">
      <c r="A67" t="s">
        <v>512</v>
      </c>
      <c r="B67" s="75">
        <v>89869</v>
      </c>
      <c r="C67" s="75">
        <v>0</v>
      </c>
      <c r="D67" s="37">
        <v>89869</v>
      </c>
      <c r="E67" s="103">
        <v>7410</v>
      </c>
      <c r="F67" s="37">
        <v>0</v>
      </c>
      <c r="G67" s="75">
        <v>0</v>
      </c>
      <c r="H67" s="37">
        <v>0</v>
      </c>
      <c r="I67" s="75">
        <v>0</v>
      </c>
      <c r="J67" s="37">
        <v>2974</v>
      </c>
      <c r="K67" s="37">
        <v>0</v>
      </c>
      <c r="L67" s="37">
        <v>99813</v>
      </c>
      <c r="M67" s="87" t="s">
        <v>120</v>
      </c>
      <c r="N67" t="s">
        <v>340</v>
      </c>
      <c r="O67" t="s">
        <v>340</v>
      </c>
    </row>
    <row r="68" spans="1:15" ht="12.75" x14ac:dyDescent="0.2">
      <c r="A68" t="s">
        <v>121</v>
      </c>
      <c r="B68" s="75">
        <v>664366</v>
      </c>
      <c r="C68" s="75">
        <v>0</v>
      </c>
      <c r="D68" s="37">
        <v>664366</v>
      </c>
      <c r="E68" s="103">
        <v>79642</v>
      </c>
      <c r="F68" s="37">
        <v>0</v>
      </c>
      <c r="G68" s="75">
        <v>0</v>
      </c>
      <c r="H68" s="37">
        <v>0</v>
      </c>
      <c r="I68" s="75">
        <v>0</v>
      </c>
      <c r="J68" s="37">
        <v>4174</v>
      </c>
      <c r="K68" s="37">
        <v>1716</v>
      </c>
      <c r="L68" s="37">
        <v>745724</v>
      </c>
      <c r="M68" s="87" t="s">
        <v>122</v>
      </c>
      <c r="N68" t="s">
        <v>340</v>
      </c>
      <c r="O68" t="s">
        <v>340</v>
      </c>
    </row>
    <row r="69" spans="1:15" ht="12.75" x14ac:dyDescent="0.2">
      <c r="A69" t="s">
        <v>123</v>
      </c>
      <c r="B69" s="75">
        <v>204</v>
      </c>
      <c r="C69" s="75">
        <v>0</v>
      </c>
      <c r="D69" s="37">
        <v>204</v>
      </c>
      <c r="E69" s="103">
        <v>86</v>
      </c>
      <c r="F69" s="37">
        <v>0</v>
      </c>
      <c r="G69" s="75">
        <v>0</v>
      </c>
      <c r="H69" s="37">
        <v>0</v>
      </c>
      <c r="I69" s="75">
        <v>0</v>
      </c>
      <c r="J69" s="37">
        <v>0</v>
      </c>
      <c r="K69" s="37">
        <v>9</v>
      </c>
      <c r="L69" s="37">
        <v>299</v>
      </c>
      <c r="M69" s="87" t="s">
        <v>124</v>
      </c>
      <c r="N69" t="s">
        <v>335</v>
      </c>
      <c r="O69" t="s">
        <v>343</v>
      </c>
    </row>
    <row r="70" spans="1:15" ht="12.75" x14ac:dyDescent="0.2">
      <c r="A70" t="s">
        <v>125</v>
      </c>
      <c r="B70" s="75">
        <v>3809</v>
      </c>
      <c r="C70" s="75">
        <v>0</v>
      </c>
      <c r="D70" s="37">
        <v>3809</v>
      </c>
      <c r="E70" s="103">
        <v>446</v>
      </c>
      <c r="F70" s="37">
        <v>0</v>
      </c>
      <c r="G70" s="75">
        <v>0</v>
      </c>
      <c r="H70" s="37">
        <v>0</v>
      </c>
      <c r="I70" s="75">
        <v>0</v>
      </c>
      <c r="J70" s="37">
        <v>0</v>
      </c>
      <c r="K70" s="37">
        <v>0</v>
      </c>
      <c r="L70" s="37">
        <v>4255</v>
      </c>
      <c r="M70" s="87" t="s">
        <v>126</v>
      </c>
      <c r="N70" t="s">
        <v>335</v>
      </c>
      <c r="O70" t="s">
        <v>343</v>
      </c>
    </row>
    <row r="71" spans="1:15" ht="12.75" x14ac:dyDescent="0.2">
      <c r="A71" t="s">
        <v>127</v>
      </c>
      <c r="B71" s="75">
        <v>1395</v>
      </c>
      <c r="C71" s="75">
        <v>24624</v>
      </c>
      <c r="D71" s="37">
        <v>26019</v>
      </c>
      <c r="E71" s="103">
        <v>1051</v>
      </c>
      <c r="F71" s="37">
        <v>0</v>
      </c>
      <c r="G71" s="75">
        <v>0</v>
      </c>
      <c r="H71" s="37">
        <v>295831</v>
      </c>
      <c r="I71" s="75">
        <v>0</v>
      </c>
      <c r="J71" s="37">
        <v>530</v>
      </c>
      <c r="K71" s="37">
        <v>0</v>
      </c>
      <c r="L71" s="37">
        <v>323431</v>
      </c>
      <c r="M71" s="87" t="s">
        <v>128</v>
      </c>
      <c r="N71" t="s">
        <v>340</v>
      </c>
      <c r="O71" t="s">
        <v>344</v>
      </c>
    </row>
    <row r="72" spans="1:15" ht="12.75" x14ac:dyDescent="0.2">
      <c r="A72" t="s">
        <v>129</v>
      </c>
      <c r="B72" s="75">
        <v>2465252</v>
      </c>
      <c r="C72" s="75">
        <v>127755</v>
      </c>
      <c r="D72" s="37">
        <v>2593007</v>
      </c>
      <c r="E72" s="103">
        <v>361493</v>
      </c>
      <c r="F72" s="37">
        <v>0</v>
      </c>
      <c r="G72" s="75">
        <v>0</v>
      </c>
      <c r="H72" s="37">
        <v>0</v>
      </c>
      <c r="I72" s="75">
        <v>0</v>
      </c>
      <c r="J72" s="37">
        <v>28964</v>
      </c>
      <c r="K72" s="37">
        <v>0</v>
      </c>
      <c r="L72" s="37">
        <v>2969167</v>
      </c>
      <c r="M72" s="87" t="s">
        <v>130</v>
      </c>
      <c r="N72" t="s">
        <v>340</v>
      </c>
      <c r="O72" t="s">
        <v>340</v>
      </c>
    </row>
    <row r="73" spans="1:15" ht="12.75" x14ac:dyDescent="0.2">
      <c r="A73" t="s">
        <v>131</v>
      </c>
      <c r="B73" s="75">
        <v>7057</v>
      </c>
      <c r="C73" s="75">
        <v>0</v>
      </c>
      <c r="D73" s="37">
        <v>7057</v>
      </c>
      <c r="E73" s="103">
        <v>4209</v>
      </c>
      <c r="F73" s="37">
        <v>0</v>
      </c>
      <c r="G73" s="75">
        <v>0</v>
      </c>
      <c r="H73" s="37">
        <v>0</v>
      </c>
      <c r="I73" s="75">
        <v>0</v>
      </c>
      <c r="J73" s="37">
        <v>0</v>
      </c>
      <c r="K73" s="37">
        <v>0</v>
      </c>
      <c r="L73" s="37">
        <v>11266</v>
      </c>
      <c r="M73" s="87" t="s">
        <v>132</v>
      </c>
      <c r="N73" t="s">
        <v>335</v>
      </c>
      <c r="O73" t="s">
        <v>343</v>
      </c>
    </row>
    <row r="74" spans="1:15" ht="12.75" x14ac:dyDescent="0.2">
      <c r="A74" t="s">
        <v>133</v>
      </c>
      <c r="B74" s="75">
        <v>192384</v>
      </c>
      <c r="C74" s="75">
        <v>0</v>
      </c>
      <c r="D74" s="37">
        <v>192384</v>
      </c>
      <c r="E74" s="103">
        <v>32687</v>
      </c>
      <c r="F74" s="37">
        <v>0</v>
      </c>
      <c r="G74" s="75">
        <v>0</v>
      </c>
      <c r="H74" s="37">
        <v>0</v>
      </c>
      <c r="I74" s="75">
        <v>0</v>
      </c>
      <c r="J74" s="37">
        <v>3743</v>
      </c>
      <c r="K74" s="37">
        <v>2722</v>
      </c>
      <c r="L74" s="37">
        <v>227793</v>
      </c>
      <c r="M74" s="87" t="s">
        <v>134</v>
      </c>
      <c r="N74" t="s">
        <v>340</v>
      </c>
      <c r="O74" t="s">
        <v>340</v>
      </c>
    </row>
    <row r="75" spans="1:15" ht="12.75" x14ac:dyDescent="0.2">
      <c r="A75" t="s">
        <v>137</v>
      </c>
      <c r="B75" s="75">
        <v>989</v>
      </c>
      <c r="C75" s="75">
        <v>0</v>
      </c>
      <c r="D75" s="37">
        <v>989</v>
      </c>
      <c r="E75" s="103">
        <v>2051</v>
      </c>
      <c r="F75" s="37">
        <v>0</v>
      </c>
      <c r="G75" s="75">
        <v>0</v>
      </c>
      <c r="H75" s="37">
        <v>0</v>
      </c>
      <c r="I75" s="75">
        <v>0</v>
      </c>
      <c r="J75" s="37">
        <v>0</v>
      </c>
      <c r="K75" s="37">
        <v>148026</v>
      </c>
      <c r="L75" s="37">
        <v>151066</v>
      </c>
      <c r="M75" s="87" t="s">
        <v>138</v>
      </c>
      <c r="N75" t="s">
        <v>337</v>
      </c>
      <c r="O75" t="s">
        <v>345</v>
      </c>
    </row>
    <row r="76" spans="1:15" ht="12.75" x14ac:dyDescent="0.2">
      <c r="A76" t="s">
        <v>139</v>
      </c>
      <c r="B76" s="75">
        <v>2191</v>
      </c>
      <c r="C76" s="75">
        <v>0</v>
      </c>
      <c r="D76" s="37">
        <v>2191</v>
      </c>
      <c r="E76" s="103">
        <v>54</v>
      </c>
      <c r="F76" s="37">
        <v>0</v>
      </c>
      <c r="G76" s="75">
        <v>0</v>
      </c>
      <c r="H76" s="37">
        <v>0</v>
      </c>
      <c r="I76" s="75">
        <v>0</v>
      </c>
      <c r="J76" s="37">
        <v>0</v>
      </c>
      <c r="K76" s="37">
        <v>0</v>
      </c>
      <c r="L76" s="37">
        <v>2245</v>
      </c>
      <c r="M76" s="87" t="s">
        <v>140</v>
      </c>
      <c r="N76" t="s">
        <v>335</v>
      </c>
      <c r="O76" t="s">
        <v>343</v>
      </c>
    </row>
    <row r="77" spans="1:15" ht="12.75" x14ac:dyDescent="0.2">
      <c r="A77" t="s">
        <v>141</v>
      </c>
      <c r="B77" s="75">
        <v>24</v>
      </c>
      <c r="C77" s="75">
        <v>0</v>
      </c>
      <c r="D77" s="37">
        <v>24</v>
      </c>
      <c r="E77" s="103">
        <v>30</v>
      </c>
      <c r="F77" s="37">
        <v>0</v>
      </c>
      <c r="G77" s="75">
        <v>0</v>
      </c>
      <c r="H77" s="37">
        <v>0</v>
      </c>
      <c r="I77" s="75">
        <v>0</v>
      </c>
      <c r="J77" s="37">
        <v>0</v>
      </c>
      <c r="K77" s="37">
        <v>0</v>
      </c>
      <c r="L77" s="37">
        <v>54</v>
      </c>
      <c r="M77" s="87" t="s">
        <v>142</v>
      </c>
      <c r="N77" t="s">
        <v>335</v>
      </c>
      <c r="O77" t="s">
        <v>343</v>
      </c>
    </row>
    <row r="78" spans="1:15" ht="12.75" x14ac:dyDescent="0.2">
      <c r="A78" t="s">
        <v>143</v>
      </c>
      <c r="B78" s="75">
        <v>27</v>
      </c>
      <c r="C78" s="75">
        <v>0</v>
      </c>
      <c r="D78" s="37">
        <v>27</v>
      </c>
      <c r="E78" s="103">
        <v>55</v>
      </c>
      <c r="F78" s="37">
        <v>21668</v>
      </c>
      <c r="G78" s="75">
        <v>0</v>
      </c>
      <c r="H78" s="37">
        <v>0</v>
      </c>
      <c r="I78" s="75">
        <v>0</v>
      </c>
      <c r="J78" s="37">
        <v>0</v>
      </c>
      <c r="K78" s="37">
        <v>0</v>
      </c>
      <c r="L78" s="37">
        <v>21750</v>
      </c>
      <c r="M78" s="87" t="s">
        <v>144</v>
      </c>
      <c r="N78" t="s">
        <v>337</v>
      </c>
      <c r="O78" t="s">
        <v>346</v>
      </c>
    </row>
    <row r="79" spans="1:15" ht="12.75" x14ac:dyDescent="0.2">
      <c r="A79" t="s">
        <v>390</v>
      </c>
      <c r="B79" s="75">
        <v>0</v>
      </c>
      <c r="C79" s="75">
        <v>0</v>
      </c>
      <c r="D79" s="37">
        <v>0</v>
      </c>
      <c r="E79" s="103">
        <v>0</v>
      </c>
      <c r="F79" s="37">
        <v>0</v>
      </c>
      <c r="G79" s="75">
        <v>0</v>
      </c>
      <c r="H79" s="37">
        <v>313901</v>
      </c>
      <c r="I79" s="75">
        <v>0</v>
      </c>
      <c r="J79" s="37">
        <v>0</v>
      </c>
      <c r="K79" s="37">
        <v>5</v>
      </c>
      <c r="L79" s="37">
        <v>313906</v>
      </c>
      <c r="M79" s="87" t="s">
        <v>391</v>
      </c>
      <c r="N79" t="s">
        <v>337</v>
      </c>
      <c r="O79" t="s">
        <v>346</v>
      </c>
    </row>
    <row r="80" spans="1:15" ht="12.75" x14ac:dyDescent="0.2">
      <c r="A80" t="s">
        <v>145</v>
      </c>
      <c r="B80" s="75">
        <v>182</v>
      </c>
      <c r="C80" s="75">
        <v>0</v>
      </c>
      <c r="D80" s="37">
        <v>182</v>
      </c>
      <c r="E80" s="103">
        <v>101</v>
      </c>
      <c r="F80" s="37">
        <v>0</v>
      </c>
      <c r="G80" s="75">
        <v>0</v>
      </c>
      <c r="H80" s="37">
        <v>247090</v>
      </c>
      <c r="I80" s="75">
        <v>0</v>
      </c>
      <c r="J80" s="37">
        <v>0</v>
      </c>
      <c r="K80" s="37">
        <v>173569</v>
      </c>
      <c r="L80" s="37">
        <v>420942</v>
      </c>
      <c r="M80" s="87" t="s">
        <v>146</v>
      </c>
      <c r="N80" t="s">
        <v>337</v>
      </c>
      <c r="O80" t="s">
        <v>345</v>
      </c>
    </row>
    <row r="81" spans="1:15" ht="12.75" x14ac:dyDescent="0.2">
      <c r="A81" t="s">
        <v>147</v>
      </c>
      <c r="B81" s="75">
        <v>39348</v>
      </c>
      <c r="C81" s="75">
        <v>23832</v>
      </c>
      <c r="D81" s="37">
        <v>63180</v>
      </c>
      <c r="E81" s="103">
        <v>5</v>
      </c>
      <c r="F81" s="37">
        <v>0</v>
      </c>
      <c r="G81" s="75">
        <v>0</v>
      </c>
      <c r="H81" s="37">
        <v>0</v>
      </c>
      <c r="I81" s="75">
        <v>0</v>
      </c>
      <c r="J81" s="37">
        <v>137</v>
      </c>
      <c r="K81" s="37">
        <v>6</v>
      </c>
      <c r="L81" s="37">
        <v>63260</v>
      </c>
      <c r="M81" s="87" t="s">
        <v>148</v>
      </c>
      <c r="N81" t="s">
        <v>340</v>
      </c>
      <c r="O81" t="s">
        <v>340</v>
      </c>
    </row>
    <row r="82" spans="1:15" ht="12.75" x14ac:dyDescent="0.2">
      <c r="A82" t="s">
        <v>513</v>
      </c>
      <c r="B82" s="75">
        <v>8715</v>
      </c>
      <c r="C82" s="75">
        <v>0</v>
      </c>
      <c r="D82" s="37">
        <v>8715</v>
      </c>
      <c r="E82" s="103">
        <v>2850</v>
      </c>
      <c r="F82" s="37">
        <v>0</v>
      </c>
      <c r="G82" s="75">
        <v>0</v>
      </c>
      <c r="H82" s="37">
        <v>0</v>
      </c>
      <c r="I82" s="75">
        <v>0</v>
      </c>
      <c r="J82" s="37">
        <v>31</v>
      </c>
      <c r="K82" s="37">
        <v>0</v>
      </c>
      <c r="L82" s="37">
        <v>11574</v>
      </c>
      <c r="M82" s="87" t="s">
        <v>150</v>
      </c>
      <c r="N82" t="s">
        <v>340</v>
      </c>
      <c r="O82" t="s">
        <v>340</v>
      </c>
    </row>
    <row r="83" spans="1:15" ht="12.75" x14ac:dyDescent="0.2">
      <c r="A83" t="s">
        <v>151</v>
      </c>
      <c r="B83" s="75">
        <v>199206</v>
      </c>
      <c r="C83" s="75">
        <v>53661</v>
      </c>
      <c r="D83" s="37">
        <v>252867</v>
      </c>
      <c r="E83" s="103">
        <v>11926</v>
      </c>
      <c r="F83" s="37">
        <v>0</v>
      </c>
      <c r="G83" s="75">
        <v>0</v>
      </c>
      <c r="H83" s="37">
        <v>0</v>
      </c>
      <c r="I83" s="75">
        <v>0</v>
      </c>
      <c r="J83" s="37">
        <v>22646</v>
      </c>
      <c r="K83" s="37">
        <v>0</v>
      </c>
      <c r="L83" s="37">
        <v>264793</v>
      </c>
      <c r="M83" s="87" t="s">
        <v>152</v>
      </c>
      <c r="N83" t="s">
        <v>339</v>
      </c>
      <c r="O83" t="s">
        <v>344</v>
      </c>
    </row>
    <row r="84" spans="1:15" ht="12.75" x14ac:dyDescent="0.2">
      <c r="A84" t="s">
        <v>514</v>
      </c>
      <c r="B84" s="75">
        <v>8450</v>
      </c>
      <c r="C84" s="75">
        <v>0</v>
      </c>
      <c r="D84" s="37">
        <v>8450</v>
      </c>
      <c r="E84" s="103">
        <v>3793</v>
      </c>
      <c r="F84" s="37">
        <v>0</v>
      </c>
      <c r="G84" s="75">
        <v>5</v>
      </c>
      <c r="H84" s="37">
        <v>0</v>
      </c>
      <c r="I84" s="75">
        <v>0</v>
      </c>
      <c r="J84" s="37">
        <v>2093</v>
      </c>
      <c r="K84" s="37">
        <v>176</v>
      </c>
      <c r="L84" s="37">
        <v>12424</v>
      </c>
      <c r="M84" s="87" t="s">
        <v>153</v>
      </c>
      <c r="N84" t="s">
        <v>339</v>
      </c>
      <c r="O84" t="s">
        <v>344</v>
      </c>
    </row>
    <row r="85" spans="1:15" ht="12.75" x14ac:dyDescent="0.2">
      <c r="A85" t="s">
        <v>393</v>
      </c>
      <c r="B85" s="75">
        <v>773074</v>
      </c>
      <c r="C85" s="75">
        <v>2991443</v>
      </c>
      <c r="D85" s="37">
        <v>3764517</v>
      </c>
      <c r="E85" s="103">
        <v>0</v>
      </c>
      <c r="F85" s="37">
        <v>0</v>
      </c>
      <c r="G85" s="75">
        <v>24</v>
      </c>
      <c r="H85" s="37">
        <v>0</v>
      </c>
      <c r="I85" s="75">
        <v>0</v>
      </c>
      <c r="J85" s="37">
        <v>0</v>
      </c>
      <c r="K85" s="37">
        <v>0</v>
      </c>
      <c r="L85" s="37">
        <v>3764541</v>
      </c>
      <c r="M85" s="87" t="s">
        <v>154</v>
      </c>
      <c r="N85" t="s">
        <v>339</v>
      </c>
      <c r="O85" t="s">
        <v>344</v>
      </c>
    </row>
    <row r="86" spans="1:15" ht="12.75" x14ac:dyDescent="0.2">
      <c r="A86" t="s">
        <v>515</v>
      </c>
      <c r="B86" s="75">
        <v>286480</v>
      </c>
      <c r="C86" s="75">
        <v>0</v>
      </c>
      <c r="D86" s="37">
        <v>286480</v>
      </c>
      <c r="E86" s="103">
        <v>12586</v>
      </c>
      <c r="F86" s="37">
        <v>0</v>
      </c>
      <c r="G86" s="75">
        <v>154</v>
      </c>
      <c r="H86" s="37">
        <v>1123663</v>
      </c>
      <c r="I86" s="75">
        <v>27288</v>
      </c>
      <c r="J86" s="37">
        <v>233</v>
      </c>
      <c r="K86" s="37">
        <v>2538</v>
      </c>
      <c r="L86" s="37">
        <v>1452942</v>
      </c>
      <c r="M86" s="87" t="s">
        <v>155</v>
      </c>
      <c r="N86" t="s">
        <v>341</v>
      </c>
      <c r="O86" t="s">
        <v>344</v>
      </c>
    </row>
    <row r="87" spans="1:15" ht="12.75" x14ac:dyDescent="0.2">
      <c r="A87" t="s">
        <v>156</v>
      </c>
      <c r="B87" s="75">
        <v>113902</v>
      </c>
      <c r="C87" s="75">
        <v>0</v>
      </c>
      <c r="D87" s="37">
        <v>113902</v>
      </c>
      <c r="E87" s="103">
        <v>22250</v>
      </c>
      <c r="F87" s="37">
        <v>0</v>
      </c>
      <c r="G87" s="75">
        <v>0</v>
      </c>
      <c r="H87" s="37">
        <v>0</v>
      </c>
      <c r="I87" s="75">
        <v>0</v>
      </c>
      <c r="J87" s="37">
        <v>53</v>
      </c>
      <c r="K87" s="37">
        <v>0</v>
      </c>
      <c r="L87" s="37">
        <v>136152</v>
      </c>
      <c r="M87" s="87" t="s">
        <v>157</v>
      </c>
      <c r="N87" t="s">
        <v>340</v>
      </c>
      <c r="O87" t="s">
        <v>340</v>
      </c>
    </row>
    <row r="88" spans="1:15" ht="12.75" x14ac:dyDescent="0.2">
      <c r="A88" t="s">
        <v>158</v>
      </c>
      <c r="B88" s="75">
        <v>1235</v>
      </c>
      <c r="C88" s="75">
        <v>0</v>
      </c>
      <c r="D88" s="37">
        <v>1235</v>
      </c>
      <c r="E88" s="103">
        <v>25464</v>
      </c>
      <c r="F88" s="37">
        <v>0</v>
      </c>
      <c r="G88" s="75">
        <v>0</v>
      </c>
      <c r="H88" s="37">
        <v>0</v>
      </c>
      <c r="I88" s="75">
        <v>0</v>
      </c>
      <c r="J88" s="37">
        <v>35</v>
      </c>
      <c r="K88" s="37">
        <v>40477</v>
      </c>
      <c r="L88" s="37">
        <v>67211</v>
      </c>
      <c r="M88" s="87" t="s">
        <v>159</v>
      </c>
      <c r="N88" t="s">
        <v>341</v>
      </c>
      <c r="O88" t="s">
        <v>344</v>
      </c>
    </row>
    <row r="89" spans="1:15" ht="12.75" x14ac:dyDescent="0.2">
      <c r="A89" t="s">
        <v>516</v>
      </c>
      <c r="B89" s="75">
        <v>298296</v>
      </c>
      <c r="C89" s="75">
        <v>0</v>
      </c>
      <c r="D89" s="37">
        <v>298296</v>
      </c>
      <c r="E89" s="103">
        <v>146922</v>
      </c>
      <c r="F89" s="37">
        <v>0</v>
      </c>
      <c r="G89" s="75">
        <v>0</v>
      </c>
      <c r="H89" s="37">
        <v>0</v>
      </c>
      <c r="I89" s="75">
        <v>0</v>
      </c>
      <c r="J89" s="37">
        <v>3000</v>
      </c>
      <c r="K89" s="37">
        <v>0</v>
      </c>
      <c r="L89" s="37">
        <v>448177</v>
      </c>
      <c r="M89" s="87" t="s">
        <v>161</v>
      </c>
      <c r="N89" t="s">
        <v>340</v>
      </c>
      <c r="O89" t="s">
        <v>340</v>
      </c>
    </row>
    <row r="90" spans="1:15" ht="12.75" x14ac:dyDescent="0.2">
      <c r="A90" t="s">
        <v>394</v>
      </c>
      <c r="B90" s="75">
        <v>4548</v>
      </c>
      <c r="C90" s="75">
        <v>17787</v>
      </c>
      <c r="D90" s="37">
        <v>22335</v>
      </c>
      <c r="E90" s="103">
        <v>23916</v>
      </c>
      <c r="F90" s="37">
        <v>0</v>
      </c>
      <c r="G90" s="75">
        <v>0</v>
      </c>
      <c r="H90" s="37">
        <v>0</v>
      </c>
      <c r="I90" s="75">
        <v>0</v>
      </c>
      <c r="J90" s="37">
        <v>503</v>
      </c>
      <c r="K90" s="37">
        <v>0</v>
      </c>
      <c r="L90" s="37">
        <v>46737</v>
      </c>
      <c r="M90" s="87" t="s">
        <v>164</v>
      </c>
      <c r="N90" t="s">
        <v>339</v>
      </c>
      <c r="O90" t="s">
        <v>344</v>
      </c>
    </row>
    <row r="91" spans="1:15" ht="12.75" x14ac:dyDescent="0.2">
      <c r="A91" t="s">
        <v>517</v>
      </c>
      <c r="B91" s="75">
        <v>684066</v>
      </c>
      <c r="C91" s="75">
        <v>0</v>
      </c>
      <c r="D91" s="37">
        <v>684066</v>
      </c>
      <c r="E91" s="103">
        <v>39775</v>
      </c>
      <c r="F91" s="37">
        <v>0</v>
      </c>
      <c r="G91" s="75">
        <v>0</v>
      </c>
      <c r="H91" s="37">
        <v>0</v>
      </c>
      <c r="I91" s="75">
        <v>0</v>
      </c>
      <c r="J91" s="37">
        <v>68</v>
      </c>
      <c r="K91" s="37">
        <v>1293</v>
      </c>
      <c r="L91" s="37">
        <v>725134</v>
      </c>
      <c r="M91" s="87" t="s">
        <v>165</v>
      </c>
      <c r="N91" t="s">
        <v>341</v>
      </c>
      <c r="O91" t="s">
        <v>344</v>
      </c>
    </row>
    <row r="92" spans="1:15" ht="12.75" x14ac:dyDescent="0.2">
      <c r="A92" t="s">
        <v>518</v>
      </c>
      <c r="B92" s="75">
        <v>273</v>
      </c>
      <c r="C92" s="75">
        <v>42412</v>
      </c>
      <c r="D92" s="37">
        <v>42685</v>
      </c>
      <c r="E92" s="103">
        <v>476</v>
      </c>
      <c r="F92" s="37">
        <v>0</v>
      </c>
      <c r="G92" s="75">
        <v>0</v>
      </c>
      <c r="H92" s="37">
        <v>0</v>
      </c>
      <c r="I92" s="75">
        <v>0</v>
      </c>
      <c r="J92" s="37">
        <v>7892</v>
      </c>
      <c r="K92" s="37">
        <v>0</v>
      </c>
      <c r="L92" s="37">
        <v>51053</v>
      </c>
      <c r="M92" s="87" t="s">
        <v>167</v>
      </c>
      <c r="N92" t="s">
        <v>339</v>
      </c>
      <c r="O92" t="s">
        <v>344</v>
      </c>
    </row>
    <row r="93" spans="1:15" ht="12.75" x14ac:dyDescent="0.2">
      <c r="A93" t="s">
        <v>168</v>
      </c>
      <c r="B93" s="75">
        <v>538899</v>
      </c>
      <c r="C93" s="75">
        <v>0</v>
      </c>
      <c r="D93" s="37">
        <v>538899</v>
      </c>
      <c r="E93" s="103">
        <v>152942</v>
      </c>
      <c r="F93" s="37">
        <v>0</v>
      </c>
      <c r="G93" s="75">
        <v>0</v>
      </c>
      <c r="H93" s="37">
        <v>0</v>
      </c>
      <c r="I93" s="75">
        <v>0</v>
      </c>
      <c r="J93" s="37">
        <v>9800</v>
      </c>
      <c r="K93" s="37">
        <v>64971</v>
      </c>
      <c r="L93" s="37">
        <v>766612</v>
      </c>
      <c r="M93" s="87" t="s">
        <v>169</v>
      </c>
      <c r="N93" t="s">
        <v>333</v>
      </c>
      <c r="O93" t="s">
        <v>343</v>
      </c>
    </row>
    <row r="94" spans="1:15" ht="12.75" x14ac:dyDescent="0.2">
      <c r="A94" t="s">
        <v>170</v>
      </c>
      <c r="B94" s="75">
        <v>572</v>
      </c>
      <c r="C94" s="75">
        <v>0</v>
      </c>
      <c r="D94" s="37">
        <v>572</v>
      </c>
      <c r="E94" s="103">
        <v>879</v>
      </c>
      <c r="F94" s="37">
        <v>0</v>
      </c>
      <c r="G94" s="75">
        <v>0</v>
      </c>
      <c r="H94" s="37">
        <v>0</v>
      </c>
      <c r="I94" s="75">
        <v>0</v>
      </c>
      <c r="J94" s="37">
        <v>92000</v>
      </c>
      <c r="K94" s="37">
        <v>13</v>
      </c>
      <c r="L94" s="37">
        <v>93464</v>
      </c>
      <c r="M94" s="87" t="s">
        <v>171</v>
      </c>
      <c r="N94" t="s">
        <v>341</v>
      </c>
      <c r="O94" t="s">
        <v>344</v>
      </c>
    </row>
    <row r="95" spans="1:15" ht="12.75" x14ac:dyDescent="0.2">
      <c r="A95" t="s">
        <v>519</v>
      </c>
      <c r="B95" s="75">
        <v>250</v>
      </c>
      <c r="C95" s="75">
        <v>27540</v>
      </c>
      <c r="D95" s="37">
        <v>27790</v>
      </c>
      <c r="E95" s="103">
        <v>1203</v>
      </c>
      <c r="F95" s="37">
        <v>0</v>
      </c>
      <c r="G95" s="75">
        <v>0</v>
      </c>
      <c r="H95" s="37">
        <v>0</v>
      </c>
      <c r="I95" s="75">
        <v>0</v>
      </c>
      <c r="J95" s="37">
        <v>20</v>
      </c>
      <c r="K95" s="37">
        <v>0</v>
      </c>
      <c r="L95" s="37">
        <v>29013</v>
      </c>
      <c r="M95" s="87" t="s">
        <v>173</v>
      </c>
      <c r="N95" t="s">
        <v>339</v>
      </c>
      <c r="O95" t="s">
        <v>344</v>
      </c>
    </row>
    <row r="96" spans="1:15" ht="12.75" x14ac:dyDescent="0.2">
      <c r="A96" t="s">
        <v>520</v>
      </c>
      <c r="B96" s="75">
        <v>45761</v>
      </c>
      <c r="C96" s="75">
        <v>0</v>
      </c>
      <c r="D96" s="37">
        <v>45761</v>
      </c>
      <c r="E96" s="103">
        <v>552</v>
      </c>
      <c r="F96" s="37">
        <v>0</v>
      </c>
      <c r="G96" s="75">
        <v>0</v>
      </c>
      <c r="H96" s="37">
        <v>0</v>
      </c>
      <c r="I96" s="75">
        <v>0</v>
      </c>
      <c r="J96" s="37">
        <v>180614</v>
      </c>
      <c r="K96" s="37">
        <v>0</v>
      </c>
      <c r="L96" s="37">
        <v>226927</v>
      </c>
      <c r="M96" s="87" t="s">
        <v>174</v>
      </c>
      <c r="N96" t="s">
        <v>340</v>
      </c>
      <c r="O96" t="s">
        <v>340</v>
      </c>
    </row>
    <row r="97" spans="1:15" ht="12.75" x14ac:dyDescent="0.2">
      <c r="A97" t="s">
        <v>175</v>
      </c>
      <c r="B97" s="75">
        <v>788472</v>
      </c>
      <c r="C97" s="75">
        <v>0</v>
      </c>
      <c r="D97" s="37">
        <v>788472</v>
      </c>
      <c r="E97" s="103">
        <v>7614</v>
      </c>
      <c r="F97" s="37">
        <v>0</v>
      </c>
      <c r="G97" s="75">
        <v>0</v>
      </c>
      <c r="H97" s="37">
        <v>0</v>
      </c>
      <c r="I97" s="75">
        <v>0</v>
      </c>
      <c r="J97" s="37">
        <v>0</v>
      </c>
      <c r="K97" s="37">
        <v>30053</v>
      </c>
      <c r="L97" s="37">
        <v>826139</v>
      </c>
      <c r="M97" s="87" t="s">
        <v>176</v>
      </c>
      <c r="N97" t="s">
        <v>341</v>
      </c>
      <c r="O97" t="s">
        <v>344</v>
      </c>
    </row>
    <row r="98" spans="1:15" ht="12.75" x14ac:dyDescent="0.2">
      <c r="A98" t="s">
        <v>177</v>
      </c>
      <c r="B98" s="75">
        <v>319</v>
      </c>
      <c r="C98" s="75">
        <v>0</v>
      </c>
      <c r="D98" s="37">
        <v>319</v>
      </c>
      <c r="E98" s="103">
        <v>363</v>
      </c>
      <c r="F98" s="37">
        <v>0</v>
      </c>
      <c r="G98" s="75">
        <v>0</v>
      </c>
      <c r="H98" s="37">
        <v>0</v>
      </c>
      <c r="I98" s="75">
        <v>0</v>
      </c>
      <c r="J98" s="37">
        <v>0</v>
      </c>
      <c r="K98" s="37">
        <v>6</v>
      </c>
      <c r="L98" s="37">
        <v>688</v>
      </c>
      <c r="M98" s="87" t="s">
        <v>178</v>
      </c>
      <c r="N98" t="s">
        <v>334</v>
      </c>
      <c r="O98" t="s">
        <v>343</v>
      </c>
    </row>
    <row r="99" spans="1:15" ht="12.75" x14ac:dyDescent="0.2">
      <c r="A99" t="s">
        <v>179</v>
      </c>
      <c r="B99" s="75">
        <v>1164</v>
      </c>
      <c r="C99" s="75">
        <v>0</v>
      </c>
      <c r="D99" s="37">
        <v>1164</v>
      </c>
      <c r="E99" s="103">
        <v>618</v>
      </c>
      <c r="F99" s="37">
        <v>0</v>
      </c>
      <c r="G99" s="75">
        <v>0</v>
      </c>
      <c r="H99" s="37">
        <v>0</v>
      </c>
      <c r="I99" s="75">
        <v>0</v>
      </c>
      <c r="J99" s="37">
        <v>0</v>
      </c>
      <c r="K99" s="37">
        <v>0</v>
      </c>
      <c r="L99" s="37">
        <v>1782</v>
      </c>
      <c r="M99" s="87" t="s">
        <v>180</v>
      </c>
      <c r="N99" t="s">
        <v>335</v>
      </c>
      <c r="O99" t="s">
        <v>343</v>
      </c>
    </row>
    <row r="100" spans="1:15" ht="12.75" x14ac:dyDescent="0.2">
      <c r="A100" t="s">
        <v>181</v>
      </c>
      <c r="B100" s="75">
        <v>1837</v>
      </c>
      <c r="C100" s="75">
        <v>0</v>
      </c>
      <c r="D100" s="37">
        <v>1837</v>
      </c>
      <c r="E100" s="103">
        <v>54837</v>
      </c>
      <c r="F100" s="37">
        <v>0</v>
      </c>
      <c r="G100" s="75">
        <v>5</v>
      </c>
      <c r="H100" s="37">
        <v>125802</v>
      </c>
      <c r="I100" s="75">
        <v>37099</v>
      </c>
      <c r="J100" s="37">
        <v>0</v>
      </c>
      <c r="K100" s="37">
        <v>0</v>
      </c>
      <c r="L100" s="37">
        <v>219580</v>
      </c>
      <c r="M100" s="87" t="s">
        <v>182</v>
      </c>
      <c r="N100" t="s">
        <v>341</v>
      </c>
      <c r="O100" t="s">
        <v>343</v>
      </c>
    </row>
    <row r="101" spans="1:15" ht="12.75" x14ac:dyDescent="0.2">
      <c r="A101" t="s">
        <v>183</v>
      </c>
      <c r="B101" s="75">
        <v>597</v>
      </c>
      <c r="C101" s="75">
        <v>0</v>
      </c>
      <c r="D101" s="37">
        <v>597</v>
      </c>
      <c r="E101" s="103">
        <v>10</v>
      </c>
      <c r="F101" s="37">
        <v>0</v>
      </c>
      <c r="G101" s="75">
        <v>0</v>
      </c>
      <c r="H101" s="37">
        <v>0</v>
      </c>
      <c r="I101" s="75">
        <v>0</v>
      </c>
      <c r="J101" s="37">
        <v>0</v>
      </c>
      <c r="K101" s="37">
        <v>0</v>
      </c>
      <c r="L101" s="37">
        <v>607</v>
      </c>
      <c r="M101" s="87" t="s">
        <v>184</v>
      </c>
      <c r="N101" t="s">
        <v>340</v>
      </c>
      <c r="O101" t="s">
        <v>340</v>
      </c>
    </row>
    <row r="102" spans="1:15" ht="12.75" x14ac:dyDescent="0.2">
      <c r="A102" t="s">
        <v>185</v>
      </c>
      <c r="B102" s="75">
        <v>80225</v>
      </c>
      <c r="C102" s="75">
        <v>0</v>
      </c>
      <c r="D102" s="37">
        <v>80225</v>
      </c>
      <c r="E102" s="103">
        <v>333</v>
      </c>
      <c r="F102" s="37">
        <v>0</v>
      </c>
      <c r="G102" s="75">
        <v>0</v>
      </c>
      <c r="H102" s="37">
        <v>0</v>
      </c>
      <c r="I102" s="75">
        <v>0</v>
      </c>
      <c r="J102" s="37">
        <v>2331</v>
      </c>
      <c r="K102" s="37">
        <v>0</v>
      </c>
      <c r="L102" s="37">
        <v>82841</v>
      </c>
      <c r="M102" s="87" t="s">
        <v>186</v>
      </c>
      <c r="N102" t="s">
        <v>340</v>
      </c>
      <c r="O102" t="s">
        <v>340</v>
      </c>
    </row>
    <row r="103" spans="1:15" ht="12.75" x14ac:dyDescent="0.2">
      <c r="A103" t="s">
        <v>187</v>
      </c>
      <c r="B103" s="75">
        <v>13735</v>
      </c>
      <c r="C103" s="75">
        <v>0</v>
      </c>
      <c r="D103" s="37">
        <v>13735</v>
      </c>
      <c r="E103" s="103">
        <v>3745</v>
      </c>
      <c r="F103" s="37">
        <v>0</v>
      </c>
      <c r="G103" s="75">
        <v>0</v>
      </c>
      <c r="H103" s="37">
        <v>0</v>
      </c>
      <c r="I103" s="75">
        <v>0</v>
      </c>
      <c r="J103" s="37">
        <v>201</v>
      </c>
      <c r="K103" s="37">
        <v>80</v>
      </c>
      <c r="L103" s="37">
        <v>17560</v>
      </c>
      <c r="M103" s="87" t="s">
        <v>188</v>
      </c>
      <c r="N103" t="s">
        <v>340</v>
      </c>
      <c r="O103" t="s">
        <v>340</v>
      </c>
    </row>
    <row r="104" spans="1:15" ht="12.75" x14ac:dyDescent="0.2">
      <c r="A104" t="s">
        <v>189</v>
      </c>
      <c r="B104" s="75">
        <v>49</v>
      </c>
      <c r="C104" s="75">
        <v>0</v>
      </c>
      <c r="D104" s="37">
        <v>49</v>
      </c>
      <c r="E104" s="103">
        <v>938</v>
      </c>
      <c r="F104" s="37">
        <v>0</v>
      </c>
      <c r="G104" s="75">
        <v>0</v>
      </c>
      <c r="H104" s="37">
        <v>0</v>
      </c>
      <c r="I104" s="75">
        <v>0</v>
      </c>
      <c r="J104" s="37">
        <v>0</v>
      </c>
      <c r="K104" s="37">
        <v>19</v>
      </c>
      <c r="L104" s="37">
        <v>1006</v>
      </c>
      <c r="M104" s="87" t="s">
        <v>190</v>
      </c>
      <c r="N104" t="s">
        <v>334</v>
      </c>
      <c r="O104" t="s">
        <v>343</v>
      </c>
    </row>
    <row r="105" spans="1:15" ht="12.75" x14ac:dyDescent="0.2">
      <c r="A105" t="s">
        <v>191</v>
      </c>
      <c r="B105" s="75">
        <v>35201</v>
      </c>
      <c r="C105" s="75">
        <v>0</v>
      </c>
      <c r="D105" s="37">
        <v>35201</v>
      </c>
      <c r="E105" s="103">
        <v>17695</v>
      </c>
      <c r="F105" s="37">
        <v>0</v>
      </c>
      <c r="G105" s="75">
        <v>0</v>
      </c>
      <c r="H105" s="37">
        <v>0</v>
      </c>
      <c r="I105" s="75">
        <v>0</v>
      </c>
      <c r="J105" s="37">
        <v>0</v>
      </c>
      <c r="K105" s="37">
        <v>5</v>
      </c>
      <c r="L105" s="37">
        <v>52901</v>
      </c>
      <c r="M105" s="87" t="s">
        <v>192</v>
      </c>
      <c r="N105" t="s">
        <v>334</v>
      </c>
      <c r="O105" t="s">
        <v>343</v>
      </c>
    </row>
    <row r="106" spans="1:15" ht="12.75" x14ac:dyDescent="0.2">
      <c r="A106" t="s">
        <v>521</v>
      </c>
      <c r="B106" s="75">
        <v>135872</v>
      </c>
      <c r="C106" s="75">
        <v>0</v>
      </c>
      <c r="D106" s="37">
        <v>135872</v>
      </c>
      <c r="E106" s="103">
        <v>48571</v>
      </c>
      <c r="F106" s="37">
        <v>0</v>
      </c>
      <c r="G106" s="75">
        <v>0</v>
      </c>
      <c r="H106" s="37">
        <v>0</v>
      </c>
      <c r="I106" s="75">
        <v>0</v>
      </c>
      <c r="J106" s="37">
        <v>117070</v>
      </c>
      <c r="K106" s="37">
        <v>55814</v>
      </c>
      <c r="L106" s="37">
        <v>249649</v>
      </c>
      <c r="M106" s="87" t="s">
        <v>193</v>
      </c>
      <c r="N106" t="s">
        <v>339</v>
      </c>
      <c r="O106" t="s">
        <v>344</v>
      </c>
    </row>
    <row r="107" spans="1:15" ht="12.75" x14ac:dyDescent="0.2">
      <c r="A107" t="s">
        <v>194</v>
      </c>
      <c r="B107" s="75">
        <v>66443</v>
      </c>
      <c r="C107" s="75">
        <v>0</v>
      </c>
      <c r="D107" s="37">
        <v>66443</v>
      </c>
      <c r="E107" s="103">
        <v>273</v>
      </c>
      <c r="F107" s="37">
        <v>0</v>
      </c>
      <c r="G107" s="75">
        <v>574</v>
      </c>
      <c r="H107" s="37">
        <v>354739</v>
      </c>
      <c r="I107" s="75">
        <v>79763</v>
      </c>
      <c r="J107" s="37">
        <v>0</v>
      </c>
      <c r="K107" s="37">
        <v>0</v>
      </c>
      <c r="L107" s="37">
        <v>501792</v>
      </c>
      <c r="M107" s="87" t="s">
        <v>195</v>
      </c>
      <c r="N107" t="s">
        <v>335</v>
      </c>
      <c r="O107" t="s">
        <v>343</v>
      </c>
    </row>
    <row r="108" spans="1:15" ht="12.75" x14ac:dyDescent="0.2">
      <c r="A108" t="s">
        <v>196</v>
      </c>
      <c r="B108" s="75">
        <v>11724</v>
      </c>
      <c r="C108" s="75">
        <v>0</v>
      </c>
      <c r="D108" s="37">
        <v>11724</v>
      </c>
      <c r="E108" s="103">
        <v>815</v>
      </c>
      <c r="F108" s="37">
        <v>0</v>
      </c>
      <c r="G108" s="75">
        <v>0</v>
      </c>
      <c r="H108" s="37">
        <v>0</v>
      </c>
      <c r="I108" s="75">
        <v>0</v>
      </c>
      <c r="J108" s="37">
        <v>0</v>
      </c>
      <c r="K108" s="37">
        <v>0</v>
      </c>
      <c r="L108" s="37">
        <v>12539</v>
      </c>
      <c r="M108" s="87" t="s">
        <v>197</v>
      </c>
      <c r="N108" t="s">
        <v>340</v>
      </c>
      <c r="O108" t="s">
        <v>340</v>
      </c>
    </row>
    <row r="109" spans="1:15" ht="12.75" x14ac:dyDescent="0.2">
      <c r="A109" t="s">
        <v>198</v>
      </c>
      <c r="B109" s="75">
        <v>112549</v>
      </c>
      <c r="C109" s="75">
        <v>0</v>
      </c>
      <c r="D109" s="37">
        <v>112549</v>
      </c>
      <c r="E109" s="103">
        <v>5927</v>
      </c>
      <c r="F109" s="37">
        <v>0</v>
      </c>
      <c r="G109" s="75">
        <v>0</v>
      </c>
      <c r="H109" s="37">
        <v>0</v>
      </c>
      <c r="I109" s="75">
        <v>0</v>
      </c>
      <c r="J109" s="37">
        <v>0</v>
      </c>
      <c r="K109" s="37">
        <v>0</v>
      </c>
      <c r="L109" s="37">
        <v>118476</v>
      </c>
      <c r="M109" s="87" t="s">
        <v>199</v>
      </c>
      <c r="N109" t="s">
        <v>341</v>
      </c>
      <c r="O109" t="s">
        <v>343</v>
      </c>
    </row>
    <row r="110" spans="1:15" ht="12.75" x14ac:dyDescent="0.2">
      <c r="A110" t="s">
        <v>404</v>
      </c>
      <c r="B110" s="75">
        <v>5</v>
      </c>
      <c r="C110" s="75">
        <v>0</v>
      </c>
      <c r="D110" s="37">
        <v>5</v>
      </c>
      <c r="E110" s="103">
        <v>19</v>
      </c>
      <c r="F110" s="37">
        <v>0</v>
      </c>
      <c r="G110" s="75">
        <v>0</v>
      </c>
      <c r="H110" s="37">
        <v>0</v>
      </c>
      <c r="I110" s="75">
        <v>0</v>
      </c>
      <c r="J110" s="37">
        <v>0</v>
      </c>
      <c r="K110" s="37">
        <v>0</v>
      </c>
      <c r="L110" s="37">
        <v>24</v>
      </c>
      <c r="M110" s="87" t="s">
        <v>405</v>
      </c>
      <c r="N110" t="s">
        <v>334</v>
      </c>
      <c r="O110" t="s">
        <v>343</v>
      </c>
    </row>
    <row r="111" spans="1:15" ht="12.75" x14ac:dyDescent="0.2">
      <c r="A111" t="s">
        <v>522</v>
      </c>
      <c r="B111" s="75">
        <v>124784</v>
      </c>
      <c r="C111" s="75">
        <v>0</v>
      </c>
      <c r="D111" s="37">
        <v>124784</v>
      </c>
      <c r="E111" s="103">
        <v>257396</v>
      </c>
      <c r="F111" s="37">
        <v>73753</v>
      </c>
      <c r="G111" s="75">
        <v>0</v>
      </c>
      <c r="H111" s="37">
        <v>262411</v>
      </c>
      <c r="I111" s="75">
        <v>0</v>
      </c>
      <c r="J111" s="37">
        <v>13</v>
      </c>
      <c r="K111" s="37">
        <v>69497</v>
      </c>
      <c r="L111" s="37">
        <v>787854</v>
      </c>
      <c r="M111" s="87" t="s">
        <v>200</v>
      </c>
      <c r="N111" t="s">
        <v>337</v>
      </c>
      <c r="O111" t="s">
        <v>345</v>
      </c>
    </row>
    <row r="112" spans="1:15" ht="12.75" x14ac:dyDescent="0.2">
      <c r="A112" t="s">
        <v>456</v>
      </c>
      <c r="B112" s="75">
        <v>17</v>
      </c>
      <c r="C112" s="75">
        <v>0</v>
      </c>
      <c r="D112" s="37">
        <v>17</v>
      </c>
      <c r="E112" s="103">
        <v>0</v>
      </c>
      <c r="F112" s="37">
        <v>0</v>
      </c>
      <c r="G112" s="75">
        <v>0</v>
      </c>
      <c r="H112" s="37">
        <v>0</v>
      </c>
      <c r="I112" s="75">
        <v>0</v>
      </c>
      <c r="J112" s="37">
        <v>0</v>
      </c>
      <c r="K112" s="37">
        <v>0</v>
      </c>
      <c r="L112" s="37">
        <v>17</v>
      </c>
      <c r="M112" s="87" t="s">
        <v>201</v>
      </c>
      <c r="N112" t="s">
        <v>340</v>
      </c>
      <c r="O112" t="s">
        <v>340</v>
      </c>
    </row>
    <row r="113" spans="1:15" ht="12.75" x14ac:dyDescent="0.2">
      <c r="A113" t="s">
        <v>202</v>
      </c>
      <c r="B113" s="75">
        <v>10</v>
      </c>
      <c r="C113" s="75">
        <v>0</v>
      </c>
      <c r="D113" s="37">
        <v>10</v>
      </c>
      <c r="E113" s="103">
        <v>0</v>
      </c>
      <c r="F113" s="37">
        <v>0</v>
      </c>
      <c r="G113" s="75">
        <v>0</v>
      </c>
      <c r="H113" s="37">
        <v>0</v>
      </c>
      <c r="I113" s="75">
        <v>0</v>
      </c>
      <c r="J113" s="37">
        <v>17</v>
      </c>
      <c r="K113" s="37">
        <v>5</v>
      </c>
      <c r="L113" s="37">
        <v>32</v>
      </c>
      <c r="M113" s="87" t="s">
        <v>203</v>
      </c>
      <c r="N113" t="s">
        <v>339</v>
      </c>
      <c r="O113" t="s">
        <v>344</v>
      </c>
    </row>
    <row r="114" spans="1:15" ht="12.75" x14ac:dyDescent="0.2">
      <c r="A114" t="s">
        <v>204</v>
      </c>
      <c r="B114" s="75">
        <v>6648</v>
      </c>
      <c r="C114" s="75">
        <v>58085</v>
      </c>
      <c r="D114" s="37">
        <v>64733</v>
      </c>
      <c r="E114" s="103">
        <v>174</v>
      </c>
      <c r="F114" s="37">
        <v>0</v>
      </c>
      <c r="G114" s="75">
        <v>0</v>
      </c>
      <c r="H114" s="37">
        <v>0</v>
      </c>
      <c r="I114" s="75">
        <v>0</v>
      </c>
      <c r="J114" s="37">
        <v>416</v>
      </c>
      <c r="K114" s="37">
        <v>213</v>
      </c>
      <c r="L114" s="37">
        <v>65536</v>
      </c>
      <c r="M114" s="87" t="s">
        <v>205</v>
      </c>
      <c r="N114" t="s">
        <v>340</v>
      </c>
      <c r="O114" t="s">
        <v>340</v>
      </c>
    </row>
    <row r="115" spans="1:15" ht="12.75" x14ac:dyDescent="0.2">
      <c r="A115" t="s">
        <v>206</v>
      </c>
      <c r="B115" s="75">
        <v>8295</v>
      </c>
      <c r="C115" s="75">
        <v>0</v>
      </c>
      <c r="D115" s="37">
        <v>8295</v>
      </c>
      <c r="E115" s="103">
        <v>11340</v>
      </c>
      <c r="F115" s="37">
        <v>0</v>
      </c>
      <c r="G115" s="75">
        <v>0</v>
      </c>
      <c r="H115" s="37">
        <v>0</v>
      </c>
      <c r="I115" s="75">
        <v>0</v>
      </c>
      <c r="J115" s="37">
        <v>0</v>
      </c>
      <c r="K115" s="37">
        <v>0</v>
      </c>
      <c r="L115" s="37">
        <v>19635</v>
      </c>
      <c r="M115" s="87" t="s">
        <v>207</v>
      </c>
      <c r="N115" t="s">
        <v>341</v>
      </c>
      <c r="O115" t="s">
        <v>343</v>
      </c>
    </row>
    <row r="116" spans="1:15" ht="12.75" x14ac:dyDescent="0.2">
      <c r="A116" t="s">
        <v>208</v>
      </c>
      <c r="B116" s="75">
        <v>5152</v>
      </c>
      <c r="C116" s="75">
        <v>0</v>
      </c>
      <c r="D116" s="37">
        <v>5152</v>
      </c>
      <c r="E116" s="103">
        <v>18438</v>
      </c>
      <c r="F116" s="37">
        <v>0</v>
      </c>
      <c r="G116" s="75">
        <v>0</v>
      </c>
      <c r="H116" s="37">
        <v>582764</v>
      </c>
      <c r="I116" s="75">
        <v>280988</v>
      </c>
      <c r="J116" s="37">
        <v>0</v>
      </c>
      <c r="K116" s="37">
        <v>1323</v>
      </c>
      <c r="L116" s="37">
        <v>888665</v>
      </c>
      <c r="M116" s="87" t="s">
        <v>209</v>
      </c>
      <c r="N116" t="s">
        <v>334</v>
      </c>
      <c r="O116" t="s">
        <v>343</v>
      </c>
    </row>
    <row r="117" spans="1:15" ht="12.75" x14ac:dyDescent="0.2">
      <c r="A117" t="s">
        <v>523</v>
      </c>
      <c r="B117" s="75">
        <v>0</v>
      </c>
      <c r="C117" s="75">
        <v>0</v>
      </c>
      <c r="D117" s="37">
        <v>0</v>
      </c>
      <c r="E117" s="103">
        <v>0</v>
      </c>
      <c r="F117" s="37">
        <v>0</v>
      </c>
      <c r="G117" s="75">
        <v>10</v>
      </c>
      <c r="H117" s="37">
        <v>2607645</v>
      </c>
      <c r="I117" s="75">
        <v>276612</v>
      </c>
      <c r="J117" s="37">
        <v>632789</v>
      </c>
      <c r="K117" s="37">
        <v>0</v>
      </c>
      <c r="L117" s="37">
        <v>3361545</v>
      </c>
      <c r="M117" s="87" t="s">
        <v>210</v>
      </c>
      <c r="N117" t="s">
        <v>339</v>
      </c>
      <c r="O117" t="s">
        <v>344</v>
      </c>
    </row>
    <row r="118" spans="1:15" ht="12.75" x14ac:dyDescent="0.2">
      <c r="A118" t="s">
        <v>211</v>
      </c>
      <c r="B118" s="75">
        <v>5157</v>
      </c>
      <c r="C118" s="75">
        <v>0</v>
      </c>
      <c r="D118" s="37">
        <v>5157</v>
      </c>
      <c r="E118" s="103">
        <v>1978</v>
      </c>
      <c r="F118" s="37">
        <v>0</v>
      </c>
      <c r="G118" s="75">
        <v>0</v>
      </c>
      <c r="H118" s="37">
        <v>0</v>
      </c>
      <c r="I118" s="75">
        <v>0</v>
      </c>
      <c r="J118" s="37">
        <v>0</v>
      </c>
      <c r="K118" s="37">
        <v>77</v>
      </c>
      <c r="L118" s="37">
        <v>7212</v>
      </c>
      <c r="M118" s="87" t="s">
        <v>212</v>
      </c>
      <c r="N118" t="s">
        <v>334</v>
      </c>
      <c r="O118" t="s">
        <v>343</v>
      </c>
    </row>
    <row r="119" spans="1:15" ht="12.75" x14ac:dyDescent="0.2">
      <c r="A119" t="s">
        <v>213</v>
      </c>
      <c r="B119" s="75">
        <v>0</v>
      </c>
      <c r="C119" s="75">
        <v>0</v>
      </c>
      <c r="D119" s="37">
        <v>0</v>
      </c>
      <c r="E119" s="103">
        <v>13</v>
      </c>
      <c r="F119" s="37">
        <v>0</v>
      </c>
      <c r="G119" s="75">
        <v>0</v>
      </c>
      <c r="H119" s="37">
        <v>0</v>
      </c>
      <c r="I119" s="75">
        <v>0</v>
      </c>
      <c r="J119" s="37">
        <v>0</v>
      </c>
      <c r="K119" s="37">
        <v>0</v>
      </c>
      <c r="L119" s="37">
        <v>13</v>
      </c>
      <c r="M119" s="87" t="s">
        <v>214</v>
      </c>
      <c r="N119" t="s">
        <v>339</v>
      </c>
      <c r="O119" t="s">
        <v>347</v>
      </c>
    </row>
    <row r="120" spans="1:15" ht="12.75" x14ac:dyDescent="0.2">
      <c r="A120" t="s">
        <v>524</v>
      </c>
      <c r="B120" s="75">
        <v>19582</v>
      </c>
      <c r="C120" s="75">
        <v>0</v>
      </c>
      <c r="D120" s="37">
        <v>19582</v>
      </c>
      <c r="E120" s="103">
        <v>300</v>
      </c>
      <c r="F120" s="37">
        <v>0</v>
      </c>
      <c r="G120" s="75">
        <v>0</v>
      </c>
      <c r="H120" s="37">
        <v>0</v>
      </c>
      <c r="I120" s="75">
        <v>0</v>
      </c>
      <c r="J120" s="37">
        <v>489</v>
      </c>
      <c r="K120" s="37">
        <v>567</v>
      </c>
      <c r="L120" s="37">
        <v>20449</v>
      </c>
      <c r="M120" s="87" t="s">
        <v>215</v>
      </c>
      <c r="N120" t="s">
        <v>339</v>
      </c>
      <c r="O120" t="s">
        <v>344</v>
      </c>
    </row>
    <row r="121" spans="1:15" ht="12.75" x14ac:dyDescent="0.2">
      <c r="A121" t="s">
        <v>525</v>
      </c>
      <c r="B121" s="75">
        <v>237767</v>
      </c>
      <c r="C121" s="75">
        <v>0</v>
      </c>
      <c r="D121" s="37">
        <v>237767</v>
      </c>
      <c r="E121" s="103">
        <v>43915</v>
      </c>
      <c r="F121" s="37">
        <v>0</v>
      </c>
      <c r="G121" s="75">
        <v>0</v>
      </c>
      <c r="H121" s="37">
        <v>0</v>
      </c>
      <c r="I121" s="75">
        <v>0</v>
      </c>
      <c r="J121" s="37">
        <v>4816</v>
      </c>
      <c r="K121" s="37">
        <v>0</v>
      </c>
      <c r="L121" s="37">
        <v>283633</v>
      </c>
      <c r="M121" s="87" t="s">
        <v>216</v>
      </c>
      <c r="N121" t="s">
        <v>340</v>
      </c>
      <c r="O121" t="s">
        <v>340</v>
      </c>
    </row>
    <row r="122" spans="1:15" ht="12.75" x14ac:dyDescent="0.2">
      <c r="A122" t="s">
        <v>217</v>
      </c>
      <c r="B122" s="75">
        <v>1837</v>
      </c>
      <c r="C122" s="75">
        <v>0</v>
      </c>
      <c r="D122" s="37">
        <v>1837</v>
      </c>
      <c r="E122" s="103">
        <v>1839</v>
      </c>
      <c r="F122" s="37">
        <v>0</v>
      </c>
      <c r="G122" s="75">
        <v>0</v>
      </c>
      <c r="H122" s="37">
        <v>0</v>
      </c>
      <c r="I122" s="75">
        <v>0</v>
      </c>
      <c r="J122" s="37">
        <v>29</v>
      </c>
      <c r="K122" s="37">
        <v>0</v>
      </c>
      <c r="L122" s="37">
        <v>3676</v>
      </c>
      <c r="M122" s="87" t="s">
        <v>218</v>
      </c>
      <c r="N122" t="s">
        <v>339</v>
      </c>
      <c r="O122" t="s">
        <v>347</v>
      </c>
    </row>
    <row r="123" spans="1:15" ht="12.75" x14ac:dyDescent="0.2">
      <c r="A123" t="s">
        <v>219</v>
      </c>
      <c r="B123" s="75">
        <v>311</v>
      </c>
      <c r="C123" s="75">
        <v>0</v>
      </c>
      <c r="D123" s="37">
        <v>311</v>
      </c>
      <c r="E123" s="103">
        <v>124</v>
      </c>
      <c r="F123" s="37">
        <v>0</v>
      </c>
      <c r="G123" s="75">
        <v>0</v>
      </c>
      <c r="H123" s="37">
        <v>0</v>
      </c>
      <c r="I123" s="75">
        <v>0</v>
      </c>
      <c r="J123" s="37">
        <v>0</v>
      </c>
      <c r="K123" s="37">
        <v>583</v>
      </c>
      <c r="L123" s="37">
        <v>1018</v>
      </c>
      <c r="M123" s="87" t="s">
        <v>220</v>
      </c>
      <c r="N123" t="s">
        <v>337</v>
      </c>
      <c r="O123" t="s">
        <v>345</v>
      </c>
    </row>
    <row r="124" spans="1:15" ht="12.75" x14ac:dyDescent="0.2">
      <c r="A124" t="s">
        <v>221</v>
      </c>
      <c r="B124" s="75">
        <v>269996</v>
      </c>
      <c r="C124" s="75">
        <v>0</v>
      </c>
      <c r="D124" s="37">
        <v>269996</v>
      </c>
      <c r="E124" s="103">
        <v>35570</v>
      </c>
      <c r="F124" s="37">
        <v>0</v>
      </c>
      <c r="G124" s="75">
        <v>0</v>
      </c>
      <c r="H124" s="37">
        <v>335277</v>
      </c>
      <c r="I124" s="75">
        <v>0</v>
      </c>
      <c r="J124" s="37">
        <v>0</v>
      </c>
      <c r="K124" s="37">
        <v>45410</v>
      </c>
      <c r="L124" s="37">
        <v>686253</v>
      </c>
      <c r="M124" s="87" t="s">
        <v>222</v>
      </c>
      <c r="N124" t="s">
        <v>335</v>
      </c>
      <c r="O124" t="s">
        <v>343</v>
      </c>
    </row>
    <row r="125" spans="1:15" ht="12.75" x14ac:dyDescent="0.2">
      <c r="A125" t="s">
        <v>223</v>
      </c>
      <c r="B125" s="75">
        <v>69940</v>
      </c>
      <c r="C125" s="75">
        <v>0</v>
      </c>
      <c r="D125" s="37">
        <v>69940</v>
      </c>
      <c r="E125" s="103">
        <v>34170</v>
      </c>
      <c r="F125" s="37">
        <v>0</v>
      </c>
      <c r="G125" s="75">
        <v>31747</v>
      </c>
      <c r="H125" s="37">
        <v>3313601</v>
      </c>
      <c r="I125" s="75">
        <v>35131</v>
      </c>
      <c r="J125" s="37">
        <v>0</v>
      </c>
      <c r="K125" s="37">
        <v>326</v>
      </c>
      <c r="L125" s="37">
        <v>3484915</v>
      </c>
      <c r="M125" s="87" t="s">
        <v>224</v>
      </c>
      <c r="N125" t="s">
        <v>335</v>
      </c>
      <c r="O125" t="s">
        <v>343</v>
      </c>
    </row>
    <row r="126" spans="1:15" ht="12.75" x14ac:dyDescent="0.2">
      <c r="A126" t="s">
        <v>225</v>
      </c>
      <c r="B126" s="75">
        <v>445</v>
      </c>
      <c r="C126" s="75">
        <v>18453</v>
      </c>
      <c r="D126" s="37">
        <v>18898</v>
      </c>
      <c r="E126" s="103">
        <v>39</v>
      </c>
      <c r="F126" s="37">
        <v>0</v>
      </c>
      <c r="G126" s="75">
        <v>0</v>
      </c>
      <c r="H126" s="37">
        <v>0</v>
      </c>
      <c r="I126" s="75">
        <v>0</v>
      </c>
      <c r="J126" s="37">
        <v>275</v>
      </c>
      <c r="K126" s="37">
        <v>33</v>
      </c>
      <c r="L126" s="37">
        <v>19245</v>
      </c>
      <c r="M126" s="87" t="s">
        <v>226</v>
      </c>
      <c r="N126" t="s">
        <v>340</v>
      </c>
      <c r="O126" t="s">
        <v>340</v>
      </c>
    </row>
    <row r="127" spans="1:15" ht="12.75" x14ac:dyDescent="0.2">
      <c r="A127" t="s">
        <v>526</v>
      </c>
      <c r="B127" s="75">
        <v>103606</v>
      </c>
      <c r="C127" s="75">
        <v>0</v>
      </c>
      <c r="D127" s="37">
        <v>103606</v>
      </c>
      <c r="E127" s="103">
        <v>4967</v>
      </c>
      <c r="F127" s="37">
        <v>0</v>
      </c>
      <c r="G127" s="75">
        <v>0</v>
      </c>
      <c r="H127" s="37">
        <v>0</v>
      </c>
      <c r="I127" s="75">
        <v>0</v>
      </c>
      <c r="J127" s="37">
        <v>2046</v>
      </c>
      <c r="K127" s="37">
        <v>0</v>
      </c>
      <c r="L127" s="37">
        <v>108573</v>
      </c>
      <c r="M127" s="87" t="s">
        <v>228</v>
      </c>
      <c r="N127" t="s">
        <v>340</v>
      </c>
      <c r="O127" t="s">
        <v>340</v>
      </c>
    </row>
    <row r="128" spans="1:15" ht="12.75" x14ac:dyDescent="0.2">
      <c r="A128" t="s">
        <v>229</v>
      </c>
      <c r="B128" s="75">
        <v>300</v>
      </c>
      <c r="C128" s="75">
        <v>0</v>
      </c>
      <c r="D128" s="37">
        <v>300</v>
      </c>
      <c r="E128" s="103">
        <v>421</v>
      </c>
      <c r="F128" s="37">
        <v>0</v>
      </c>
      <c r="G128" s="75">
        <v>0</v>
      </c>
      <c r="H128" s="37">
        <v>0</v>
      </c>
      <c r="I128" s="75">
        <v>0</v>
      </c>
      <c r="J128" s="37">
        <v>0</v>
      </c>
      <c r="K128" s="37">
        <v>0</v>
      </c>
      <c r="L128" s="37">
        <v>721</v>
      </c>
      <c r="M128" s="87" t="s">
        <v>230</v>
      </c>
      <c r="N128" t="s">
        <v>341</v>
      </c>
      <c r="O128" t="s">
        <v>344</v>
      </c>
    </row>
    <row r="129" spans="1:15" ht="12.75" x14ac:dyDescent="0.2">
      <c r="A129" t="s">
        <v>527</v>
      </c>
      <c r="B129" s="75">
        <v>1371383</v>
      </c>
      <c r="C129" s="75">
        <v>616848</v>
      </c>
      <c r="D129" s="37">
        <v>1988231</v>
      </c>
      <c r="E129" s="103">
        <v>61648</v>
      </c>
      <c r="F129" s="37">
        <v>0</v>
      </c>
      <c r="G129" s="75">
        <v>36</v>
      </c>
      <c r="H129" s="37">
        <v>0</v>
      </c>
      <c r="I129" s="75">
        <v>0</v>
      </c>
      <c r="J129" s="37">
        <v>59</v>
      </c>
      <c r="K129" s="37">
        <v>142</v>
      </c>
      <c r="L129" s="37">
        <v>2050057</v>
      </c>
      <c r="M129" s="87" t="s">
        <v>231</v>
      </c>
      <c r="N129" t="s">
        <v>339</v>
      </c>
      <c r="O129" t="s">
        <v>344</v>
      </c>
    </row>
    <row r="130" spans="1:15" ht="12.75" x14ac:dyDescent="0.2">
      <c r="A130" t="s">
        <v>232</v>
      </c>
      <c r="B130" s="75">
        <v>2724</v>
      </c>
      <c r="C130" s="75">
        <v>0</v>
      </c>
      <c r="D130" s="37">
        <v>2724</v>
      </c>
      <c r="E130" s="103">
        <v>8419</v>
      </c>
      <c r="F130" s="37">
        <v>57358</v>
      </c>
      <c r="G130" s="75">
        <v>0</v>
      </c>
      <c r="H130" s="37">
        <v>0</v>
      </c>
      <c r="I130" s="75">
        <v>0</v>
      </c>
      <c r="J130" s="37">
        <v>0</v>
      </c>
      <c r="K130" s="37">
        <v>96324</v>
      </c>
      <c r="L130" s="37">
        <v>164825</v>
      </c>
      <c r="M130" s="87" t="s">
        <v>233</v>
      </c>
      <c r="N130" t="s">
        <v>337</v>
      </c>
      <c r="O130" t="s">
        <v>345</v>
      </c>
    </row>
    <row r="131" spans="1:15" ht="12.75" x14ac:dyDescent="0.2">
      <c r="A131" t="s">
        <v>234</v>
      </c>
      <c r="B131" s="75">
        <v>5523</v>
      </c>
      <c r="C131" s="75">
        <v>5000</v>
      </c>
      <c r="D131" s="37">
        <v>10523</v>
      </c>
      <c r="E131" s="103">
        <v>3298</v>
      </c>
      <c r="F131" s="37">
        <v>0</v>
      </c>
      <c r="G131" s="75">
        <v>0</v>
      </c>
      <c r="H131" s="37">
        <v>95000</v>
      </c>
      <c r="I131" s="75">
        <v>0</v>
      </c>
      <c r="J131" s="37">
        <v>0</v>
      </c>
      <c r="K131" s="37">
        <v>1736</v>
      </c>
      <c r="L131" s="37">
        <v>110557</v>
      </c>
      <c r="M131" s="87" t="s">
        <v>235</v>
      </c>
      <c r="N131" t="s">
        <v>339</v>
      </c>
      <c r="O131" t="s">
        <v>347</v>
      </c>
    </row>
    <row r="132" spans="1:15" ht="12.75" x14ac:dyDescent="0.2">
      <c r="A132" t="s">
        <v>236</v>
      </c>
      <c r="B132" s="75">
        <v>5991</v>
      </c>
      <c r="C132" s="75">
        <v>0</v>
      </c>
      <c r="D132" s="37">
        <v>5991</v>
      </c>
      <c r="E132" s="103">
        <v>1598</v>
      </c>
      <c r="F132" s="37">
        <v>0</v>
      </c>
      <c r="G132" s="75">
        <v>0</v>
      </c>
      <c r="H132" s="37">
        <v>0</v>
      </c>
      <c r="I132" s="75">
        <v>0</v>
      </c>
      <c r="J132" s="37">
        <v>5</v>
      </c>
      <c r="K132" s="37">
        <v>0</v>
      </c>
      <c r="L132" s="37">
        <v>7594</v>
      </c>
      <c r="M132" s="87" t="s">
        <v>237</v>
      </c>
      <c r="N132" t="s">
        <v>337</v>
      </c>
      <c r="O132" t="s">
        <v>345</v>
      </c>
    </row>
    <row r="133" spans="1:15" ht="12.75" x14ac:dyDescent="0.2">
      <c r="A133" t="s">
        <v>238</v>
      </c>
      <c r="B133" s="75">
        <v>6712</v>
      </c>
      <c r="C133" s="75">
        <v>0</v>
      </c>
      <c r="D133" s="37">
        <v>6712</v>
      </c>
      <c r="E133" s="103">
        <v>508429</v>
      </c>
      <c r="F133" s="37">
        <v>1043622</v>
      </c>
      <c r="G133" s="75">
        <v>0</v>
      </c>
      <c r="H133" s="37">
        <v>0</v>
      </c>
      <c r="I133" s="75">
        <v>0</v>
      </c>
      <c r="J133" s="37">
        <v>32</v>
      </c>
      <c r="K133" s="37">
        <v>18916</v>
      </c>
      <c r="L133" s="37">
        <v>1577679</v>
      </c>
      <c r="M133" s="87" t="s">
        <v>239</v>
      </c>
      <c r="N133" t="s">
        <v>337</v>
      </c>
      <c r="O133" t="s">
        <v>345</v>
      </c>
    </row>
    <row r="134" spans="1:15" ht="12.75" x14ac:dyDescent="0.2">
      <c r="A134" t="s">
        <v>240</v>
      </c>
      <c r="B134" s="75">
        <v>934</v>
      </c>
      <c r="C134" s="75">
        <v>0</v>
      </c>
      <c r="D134" s="37">
        <v>934</v>
      </c>
      <c r="E134" s="103">
        <v>1029</v>
      </c>
      <c r="F134" s="37">
        <v>0</v>
      </c>
      <c r="G134" s="75">
        <v>0</v>
      </c>
      <c r="H134" s="37">
        <v>108237</v>
      </c>
      <c r="I134" s="75">
        <v>137352</v>
      </c>
      <c r="J134" s="37">
        <v>28</v>
      </c>
      <c r="K134" s="37">
        <v>126228</v>
      </c>
      <c r="L134" s="37">
        <v>373798</v>
      </c>
      <c r="M134" s="87" t="s">
        <v>241</v>
      </c>
      <c r="N134" t="s">
        <v>339</v>
      </c>
      <c r="O134" t="s">
        <v>344</v>
      </c>
    </row>
    <row r="135" spans="1:15" ht="12.75" x14ac:dyDescent="0.2">
      <c r="A135" t="s">
        <v>242</v>
      </c>
      <c r="B135" s="75">
        <v>971478</v>
      </c>
      <c r="C135" s="75">
        <v>0</v>
      </c>
      <c r="D135" s="37">
        <v>971478</v>
      </c>
      <c r="E135" s="103">
        <v>6989</v>
      </c>
      <c r="F135" s="37">
        <v>0</v>
      </c>
      <c r="G135" s="75">
        <v>0</v>
      </c>
      <c r="H135" s="37">
        <v>0</v>
      </c>
      <c r="I135" s="75">
        <v>0</v>
      </c>
      <c r="J135" s="37">
        <v>1533</v>
      </c>
      <c r="K135" s="37">
        <v>1328</v>
      </c>
      <c r="L135" s="37">
        <v>979795</v>
      </c>
      <c r="M135" s="87" t="s">
        <v>243</v>
      </c>
      <c r="N135" t="s">
        <v>340</v>
      </c>
      <c r="O135" t="s">
        <v>340</v>
      </c>
    </row>
    <row r="136" spans="1:15" ht="12.75" x14ac:dyDescent="0.2">
      <c r="A136" t="s">
        <v>244</v>
      </c>
      <c r="B136" s="75">
        <v>62807</v>
      </c>
      <c r="C136" s="75">
        <v>0</v>
      </c>
      <c r="D136" s="37">
        <v>62807</v>
      </c>
      <c r="E136" s="103">
        <v>1267</v>
      </c>
      <c r="F136" s="37">
        <v>0</v>
      </c>
      <c r="G136" s="75">
        <v>0</v>
      </c>
      <c r="H136" s="37">
        <v>0</v>
      </c>
      <c r="I136" s="75">
        <v>0</v>
      </c>
      <c r="J136" s="37">
        <v>31</v>
      </c>
      <c r="K136" s="37">
        <v>0</v>
      </c>
      <c r="L136" s="37">
        <v>64074</v>
      </c>
      <c r="M136" s="87" t="s">
        <v>245</v>
      </c>
      <c r="N136" t="s">
        <v>340</v>
      </c>
      <c r="O136" t="s">
        <v>340</v>
      </c>
    </row>
    <row r="137" spans="1:15" ht="12.75" x14ac:dyDescent="0.2">
      <c r="A137" t="s">
        <v>246</v>
      </c>
      <c r="B137" s="75">
        <v>197</v>
      </c>
      <c r="C137" s="75">
        <v>0</v>
      </c>
      <c r="D137" s="37">
        <v>197</v>
      </c>
      <c r="E137" s="103">
        <v>140</v>
      </c>
      <c r="F137" s="37">
        <v>0</v>
      </c>
      <c r="G137" s="75">
        <v>0</v>
      </c>
      <c r="H137" s="37">
        <v>0</v>
      </c>
      <c r="I137" s="75">
        <v>0</v>
      </c>
      <c r="J137" s="37">
        <v>1200</v>
      </c>
      <c r="K137" s="37">
        <v>0</v>
      </c>
      <c r="L137" s="37">
        <v>1537</v>
      </c>
      <c r="M137" s="87" t="s">
        <v>247</v>
      </c>
      <c r="N137" t="s">
        <v>341</v>
      </c>
      <c r="O137" t="s">
        <v>344</v>
      </c>
    </row>
    <row r="138" spans="1:15" ht="12.75" x14ac:dyDescent="0.2">
      <c r="A138" t="s">
        <v>248</v>
      </c>
      <c r="B138" s="75">
        <v>4053</v>
      </c>
      <c r="C138" s="75">
        <v>0</v>
      </c>
      <c r="D138" s="37">
        <v>4053</v>
      </c>
      <c r="E138" s="103">
        <v>26738</v>
      </c>
      <c r="F138" s="37">
        <v>0</v>
      </c>
      <c r="G138" s="75">
        <v>0</v>
      </c>
      <c r="H138" s="37">
        <v>0</v>
      </c>
      <c r="I138" s="75">
        <v>0</v>
      </c>
      <c r="J138" s="37">
        <v>246</v>
      </c>
      <c r="K138" s="37">
        <v>0</v>
      </c>
      <c r="L138" s="37">
        <v>31022</v>
      </c>
      <c r="M138" s="87" t="s">
        <v>249</v>
      </c>
      <c r="N138" t="s">
        <v>339</v>
      </c>
      <c r="O138" t="s">
        <v>344</v>
      </c>
    </row>
    <row r="139" spans="1:15" ht="12.75" x14ac:dyDescent="0.2">
      <c r="A139" t="s">
        <v>250</v>
      </c>
      <c r="B139" s="75">
        <v>28919</v>
      </c>
      <c r="C139" s="75">
        <v>92028</v>
      </c>
      <c r="D139" s="37">
        <v>120947</v>
      </c>
      <c r="E139" s="103">
        <v>556</v>
      </c>
      <c r="F139" s="37">
        <v>0</v>
      </c>
      <c r="G139" s="75">
        <v>0</v>
      </c>
      <c r="H139" s="37">
        <v>0</v>
      </c>
      <c r="I139" s="75">
        <v>0</v>
      </c>
      <c r="J139" s="37">
        <v>3267</v>
      </c>
      <c r="K139" s="37">
        <v>0</v>
      </c>
      <c r="L139" s="37">
        <v>124770</v>
      </c>
      <c r="M139" s="87" t="s">
        <v>251</v>
      </c>
      <c r="N139" t="s">
        <v>340</v>
      </c>
      <c r="O139" t="s">
        <v>340</v>
      </c>
    </row>
    <row r="140" spans="1:15" ht="12.75" x14ac:dyDescent="0.2">
      <c r="A140" t="s">
        <v>252</v>
      </c>
      <c r="B140" s="75">
        <v>87487</v>
      </c>
      <c r="C140" s="75">
        <v>0</v>
      </c>
      <c r="D140" s="37">
        <v>87487</v>
      </c>
      <c r="E140" s="103">
        <v>1068</v>
      </c>
      <c r="F140" s="37">
        <v>0</v>
      </c>
      <c r="G140" s="75">
        <v>0</v>
      </c>
      <c r="H140" s="37">
        <v>0</v>
      </c>
      <c r="I140" s="75">
        <v>0</v>
      </c>
      <c r="J140" s="37">
        <v>287</v>
      </c>
      <c r="K140" s="37">
        <v>159</v>
      </c>
      <c r="L140" s="37">
        <v>88714</v>
      </c>
      <c r="M140" s="87" t="s">
        <v>253</v>
      </c>
      <c r="N140" t="s">
        <v>340</v>
      </c>
      <c r="O140" t="s">
        <v>340</v>
      </c>
    </row>
    <row r="141" spans="1:15" ht="12.75" x14ac:dyDescent="0.2">
      <c r="A141" t="s">
        <v>528</v>
      </c>
      <c r="B141" s="75">
        <v>17547</v>
      </c>
      <c r="C141" s="75">
        <v>1212584</v>
      </c>
      <c r="D141" s="37">
        <v>1230131</v>
      </c>
      <c r="E141" s="103">
        <v>891</v>
      </c>
      <c r="F141" s="37">
        <v>0</v>
      </c>
      <c r="G141" s="75">
        <v>5</v>
      </c>
      <c r="H141" s="37">
        <v>0</v>
      </c>
      <c r="I141" s="75">
        <v>0</v>
      </c>
      <c r="J141" s="37">
        <v>92209</v>
      </c>
      <c r="K141" s="37">
        <v>0</v>
      </c>
      <c r="L141" s="37">
        <v>1323200</v>
      </c>
      <c r="M141" s="87" t="s">
        <v>254</v>
      </c>
      <c r="N141" t="s">
        <v>340</v>
      </c>
      <c r="O141" t="s">
        <v>340</v>
      </c>
    </row>
    <row r="142" spans="1:15" ht="12.75" x14ac:dyDescent="0.2">
      <c r="A142" t="s">
        <v>529</v>
      </c>
      <c r="B142" s="75">
        <v>115643</v>
      </c>
      <c r="C142" s="75">
        <v>0</v>
      </c>
      <c r="D142" s="37">
        <v>115643</v>
      </c>
      <c r="E142" s="103">
        <v>12660</v>
      </c>
      <c r="F142" s="37">
        <v>0</v>
      </c>
      <c r="G142" s="75">
        <v>1961</v>
      </c>
      <c r="H142" s="37">
        <v>0</v>
      </c>
      <c r="I142" s="75">
        <v>0</v>
      </c>
      <c r="J142" s="37">
        <v>9500</v>
      </c>
      <c r="K142" s="37">
        <v>7060</v>
      </c>
      <c r="L142" s="37">
        <v>146824</v>
      </c>
      <c r="M142" s="87" t="s">
        <v>255</v>
      </c>
      <c r="N142" t="s">
        <v>333</v>
      </c>
      <c r="O142" t="s">
        <v>343</v>
      </c>
    </row>
    <row r="143" spans="1:15" ht="12.75" x14ac:dyDescent="0.2">
      <c r="A143" t="s">
        <v>256</v>
      </c>
      <c r="B143" s="75">
        <v>19</v>
      </c>
      <c r="C143" s="75">
        <v>0</v>
      </c>
      <c r="D143" s="37">
        <v>19</v>
      </c>
      <c r="E143" s="103">
        <v>0</v>
      </c>
      <c r="F143" s="37">
        <v>0</v>
      </c>
      <c r="G143" s="75">
        <v>0</v>
      </c>
      <c r="H143" s="37">
        <v>0</v>
      </c>
      <c r="I143" s="75">
        <v>0</v>
      </c>
      <c r="J143" s="37">
        <v>0</v>
      </c>
      <c r="K143" s="37">
        <v>0</v>
      </c>
      <c r="L143" s="37">
        <v>19</v>
      </c>
      <c r="M143" s="87" t="s">
        <v>257</v>
      </c>
      <c r="N143" t="s">
        <v>337</v>
      </c>
      <c r="O143" t="s">
        <v>346</v>
      </c>
    </row>
    <row r="144" spans="1:15" ht="12.75" x14ac:dyDescent="0.2">
      <c r="A144" t="s">
        <v>418</v>
      </c>
      <c r="B144" s="75">
        <v>0</v>
      </c>
      <c r="C144" s="75">
        <v>0</v>
      </c>
      <c r="D144" s="37">
        <v>0</v>
      </c>
      <c r="E144" s="103">
        <v>5</v>
      </c>
      <c r="F144" s="37">
        <v>0</v>
      </c>
      <c r="G144" s="75">
        <v>0</v>
      </c>
      <c r="H144" s="37">
        <v>0</v>
      </c>
      <c r="I144" s="75">
        <v>0</v>
      </c>
      <c r="J144" s="37">
        <v>0</v>
      </c>
      <c r="K144" s="37">
        <v>0</v>
      </c>
      <c r="L144" s="37">
        <v>5</v>
      </c>
      <c r="M144" s="87" t="s">
        <v>419</v>
      </c>
      <c r="N144" t="s">
        <v>337</v>
      </c>
      <c r="O144" t="s">
        <v>346</v>
      </c>
    </row>
    <row r="145" spans="1:15" ht="12.75" x14ac:dyDescent="0.2">
      <c r="A145" t="s">
        <v>530</v>
      </c>
      <c r="B145" s="75">
        <v>477</v>
      </c>
      <c r="C145" s="75">
        <v>0</v>
      </c>
      <c r="D145" s="37">
        <v>477</v>
      </c>
      <c r="E145" s="103">
        <v>3945</v>
      </c>
      <c r="F145" s="37">
        <v>0</v>
      </c>
      <c r="G145" s="75">
        <v>0</v>
      </c>
      <c r="H145" s="37">
        <v>0</v>
      </c>
      <c r="I145" s="75">
        <v>0</v>
      </c>
      <c r="J145" s="37">
        <v>70000</v>
      </c>
      <c r="K145" s="37">
        <v>0</v>
      </c>
      <c r="L145" s="37">
        <v>74422</v>
      </c>
      <c r="M145" s="87" t="s">
        <v>260</v>
      </c>
      <c r="N145" t="s">
        <v>341</v>
      </c>
      <c r="O145" t="s">
        <v>344</v>
      </c>
    </row>
    <row r="146" spans="1:15" ht="12.75" x14ac:dyDescent="0.2">
      <c r="A146" t="s">
        <v>261</v>
      </c>
      <c r="B146" s="75">
        <v>11856</v>
      </c>
      <c r="C146" s="75">
        <v>0</v>
      </c>
      <c r="D146" s="37">
        <v>11856</v>
      </c>
      <c r="E146" s="103">
        <v>770</v>
      </c>
      <c r="F146" s="37">
        <v>0</v>
      </c>
      <c r="G146" s="75">
        <v>0</v>
      </c>
      <c r="H146" s="37">
        <v>0</v>
      </c>
      <c r="I146" s="75">
        <v>0</v>
      </c>
      <c r="J146" s="37">
        <v>0</v>
      </c>
      <c r="K146" s="37">
        <v>0</v>
      </c>
      <c r="L146" s="37">
        <v>12626</v>
      </c>
      <c r="M146" s="87" t="s">
        <v>262</v>
      </c>
      <c r="N146" t="s">
        <v>335</v>
      </c>
      <c r="O146" t="s">
        <v>343</v>
      </c>
    </row>
    <row r="147" spans="1:15" ht="12.75" x14ac:dyDescent="0.2">
      <c r="A147" t="s">
        <v>263</v>
      </c>
      <c r="B147" s="75">
        <v>26354</v>
      </c>
      <c r="C147" s="75">
        <v>3011</v>
      </c>
      <c r="D147" s="37">
        <v>29365</v>
      </c>
      <c r="E147" s="103">
        <v>163</v>
      </c>
      <c r="F147" s="37">
        <v>0</v>
      </c>
      <c r="G147" s="75">
        <v>12</v>
      </c>
      <c r="H147" s="37">
        <v>209790</v>
      </c>
      <c r="I147" s="75">
        <v>114</v>
      </c>
      <c r="J147" s="37">
        <v>2329</v>
      </c>
      <c r="K147" s="37">
        <v>3023</v>
      </c>
      <c r="L147" s="37">
        <v>244781</v>
      </c>
      <c r="M147" s="87" t="s">
        <v>264</v>
      </c>
      <c r="N147" t="s">
        <v>340</v>
      </c>
      <c r="O147" t="s">
        <v>340</v>
      </c>
    </row>
    <row r="148" spans="1:15" ht="12.75" x14ac:dyDescent="0.2">
      <c r="A148" t="s">
        <v>265</v>
      </c>
      <c r="B148" s="75">
        <v>0</v>
      </c>
      <c r="C148" s="75">
        <v>0</v>
      </c>
      <c r="D148" s="37">
        <v>0</v>
      </c>
      <c r="E148" s="103">
        <v>0</v>
      </c>
      <c r="F148" s="37">
        <v>0</v>
      </c>
      <c r="G148" s="75">
        <v>0</v>
      </c>
      <c r="H148" s="37">
        <v>0</v>
      </c>
      <c r="I148" s="75">
        <v>0</v>
      </c>
      <c r="J148" s="37">
        <v>0</v>
      </c>
      <c r="K148" s="37">
        <v>210</v>
      </c>
      <c r="L148" s="37">
        <v>210</v>
      </c>
      <c r="M148" s="87" t="s">
        <v>266</v>
      </c>
      <c r="N148" t="s">
        <v>335</v>
      </c>
      <c r="O148" t="s">
        <v>343</v>
      </c>
    </row>
    <row r="149" spans="1:15" ht="12.75" x14ac:dyDescent="0.2">
      <c r="A149" t="s">
        <v>267</v>
      </c>
      <c r="B149" s="75">
        <v>0</v>
      </c>
      <c r="C149" s="75">
        <v>0</v>
      </c>
      <c r="D149" s="37">
        <v>0</v>
      </c>
      <c r="E149" s="103">
        <v>0</v>
      </c>
      <c r="F149" s="37">
        <v>0</v>
      </c>
      <c r="G149" s="75">
        <v>0</v>
      </c>
      <c r="H149" s="37">
        <v>0</v>
      </c>
      <c r="I149" s="75">
        <v>0</v>
      </c>
      <c r="J149" s="37">
        <v>1109</v>
      </c>
      <c r="K149" s="37">
        <v>0</v>
      </c>
      <c r="L149" s="37">
        <v>1109</v>
      </c>
      <c r="M149" s="87" t="s">
        <v>268</v>
      </c>
      <c r="N149" t="s">
        <v>339</v>
      </c>
      <c r="O149" t="s">
        <v>344</v>
      </c>
    </row>
    <row r="150" spans="1:15" ht="12.75" x14ac:dyDescent="0.2">
      <c r="A150" t="s">
        <v>269</v>
      </c>
      <c r="B150" s="75">
        <v>5</v>
      </c>
      <c r="C150" s="75">
        <v>0</v>
      </c>
      <c r="D150" s="37">
        <v>5</v>
      </c>
      <c r="E150" s="103">
        <v>128</v>
      </c>
      <c r="F150" s="37">
        <v>0</v>
      </c>
      <c r="G150" s="75">
        <v>0</v>
      </c>
      <c r="H150" s="37">
        <v>0</v>
      </c>
      <c r="I150" s="75">
        <v>0</v>
      </c>
      <c r="J150" s="37">
        <v>0</v>
      </c>
      <c r="K150" s="37">
        <v>10</v>
      </c>
      <c r="L150" s="37">
        <v>143</v>
      </c>
      <c r="M150" s="87" t="s">
        <v>270</v>
      </c>
      <c r="N150" t="s">
        <v>337</v>
      </c>
      <c r="O150" t="s">
        <v>346</v>
      </c>
    </row>
    <row r="151" spans="1:15" ht="12.75" x14ac:dyDescent="0.2">
      <c r="A151" t="s">
        <v>271</v>
      </c>
      <c r="B151" s="75">
        <v>126866</v>
      </c>
      <c r="C151" s="75">
        <v>0</v>
      </c>
      <c r="D151" s="37">
        <v>126866</v>
      </c>
      <c r="E151" s="103">
        <v>92</v>
      </c>
      <c r="F151" s="37">
        <v>0</v>
      </c>
      <c r="G151" s="75">
        <v>0</v>
      </c>
      <c r="H151" s="37">
        <v>0</v>
      </c>
      <c r="I151" s="75">
        <v>0</v>
      </c>
      <c r="J151" s="37">
        <v>49</v>
      </c>
      <c r="K151" s="37">
        <v>0</v>
      </c>
      <c r="L151" s="37">
        <v>126998</v>
      </c>
      <c r="M151" s="87" t="s">
        <v>272</v>
      </c>
      <c r="N151" t="s">
        <v>340</v>
      </c>
      <c r="O151" t="s">
        <v>340</v>
      </c>
    </row>
    <row r="152" spans="1:15" ht="12.75" x14ac:dyDescent="0.2">
      <c r="A152" t="s">
        <v>273</v>
      </c>
      <c r="B152" s="75">
        <v>10525</v>
      </c>
      <c r="C152" s="75">
        <v>0</v>
      </c>
      <c r="D152" s="37">
        <v>10525</v>
      </c>
      <c r="E152" s="103">
        <v>1143</v>
      </c>
      <c r="F152" s="37">
        <v>0</v>
      </c>
      <c r="G152" s="75">
        <v>0</v>
      </c>
      <c r="H152" s="37">
        <v>0</v>
      </c>
      <c r="I152" s="75">
        <v>0</v>
      </c>
      <c r="J152" s="37">
        <v>10</v>
      </c>
      <c r="K152" s="37">
        <v>5</v>
      </c>
      <c r="L152" s="37">
        <v>11678</v>
      </c>
      <c r="M152" s="87" t="s">
        <v>274</v>
      </c>
      <c r="N152" t="s">
        <v>340</v>
      </c>
      <c r="O152" t="s">
        <v>340</v>
      </c>
    </row>
    <row r="153" spans="1:15" ht="12.75" x14ac:dyDescent="0.2">
      <c r="A153" t="s">
        <v>275</v>
      </c>
      <c r="B153" s="75">
        <v>0</v>
      </c>
      <c r="C153" s="75">
        <v>0</v>
      </c>
      <c r="D153" s="37">
        <v>0</v>
      </c>
      <c r="E153" s="103">
        <v>0</v>
      </c>
      <c r="F153" s="37">
        <v>0</v>
      </c>
      <c r="G153" s="75">
        <v>0</v>
      </c>
      <c r="H153" s="37">
        <v>1000</v>
      </c>
      <c r="I153" s="75">
        <v>0</v>
      </c>
      <c r="J153" s="37">
        <v>0</v>
      </c>
      <c r="K153" s="37">
        <v>0</v>
      </c>
      <c r="L153" s="37">
        <v>1000</v>
      </c>
      <c r="M153" s="87" t="s">
        <v>276</v>
      </c>
      <c r="N153" t="s">
        <v>339</v>
      </c>
      <c r="O153" t="s">
        <v>347</v>
      </c>
    </row>
    <row r="154" spans="1:15" ht="12.75" x14ac:dyDescent="0.2">
      <c r="A154" t="s">
        <v>277</v>
      </c>
      <c r="B154" s="75">
        <v>17770</v>
      </c>
      <c r="C154" s="75">
        <v>0</v>
      </c>
      <c r="D154" s="37">
        <v>17770</v>
      </c>
      <c r="E154" s="103">
        <v>20500</v>
      </c>
      <c r="F154" s="37">
        <v>0</v>
      </c>
      <c r="G154" s="75">
        <v>1876</v>
      </c>
      <c r="H154" s="37">
        <v>3860099</v>
      </c>
      <c r="I154" s="75">
        <v>0</v>
      </c>
      <c r="J154" s="37">
        <v>0</v>
      </c>
      <c r="K154" s="37">
        <v>209</v>
      </c>
      <c r="L154" s="37">
        <v>3900454</v>
      </c>
      <c r="M154" s="87" t="s">
        <v>278</v>
      </c>
      <c r="N154" t="s">
        <v>333</v>
      </c>
      <c r="O154" t="s">
        <v>343</v>
      </c>
    </row>
    <row r="155" spans="1:15" ht="12.75" x14ac:dyDescent="0.2">
      <c r="A155" t="s">
        <v>427</v>
      </c>
      <c r="B155" s="75">
        <v>67145</v>
      </c>
      <c r="C155" s="75">
        <v>0</v>
      </c>
      <c r="D155" s="37">
        <v>67145</v>
      </c>
      <c r="E155" s="103">
        <v>86911</v>
      </c>
      <c r="F155" s="37">
        <v>0</v>
      </c>
      <c r="G155" s="75">
        <v>0</v>
      </c>
      <c r="H155" s="37">
        <v>0</v>
      </c>
      <c r="I155" s="75">
        <v>0</v>
      </c>
      <c r="J155" s="37">
        <v>0</v>
      </c>
      <c r="K155" s="37">
        <v>0</v>
      </c>
      <c r="L155" s="37">
        <v>154056</v>
      </c>
      <c r="M155" s="87" t="s">
        <v>279</v>
      </c>
      <c r="N155" t="s">
        <v>334</v>
      </c>
      <c r="O155" t="s">
        <v>343</v>
      </c>
    </row>
    <row r="156" spans="1:15" ht="12.75" x14ac:dyDescent="0.2">
      <c r="A156" t="s">
        <v>280</v>
      </c>
      <c r="B156" s="75">
        <v>381236</v>
      </c>
      <c r="C156" s="75">
        <v>0</v>
      </c>
      <c r="D156" s="37">
        <v>381236</v>
      </c>
      <c r="E156" s="103">
        <v>4871</v>
      </c>
      <c r="F156" s="37">
        <v>0</v>
      </c>
      <c r="G156" s="75">
        <v>527206</v>
      </c>
      <c r="H156" s="37">
        <v>1236672</v>
      </c>
      <c r="I156" s="75">
        <v>0</v>
      </c>
      <c r="J156" s="37">
        <v>10500</v>
      </c>
      <c r="K156" s="37">
        <v>0</v>
      </c>
      <c r="L156" s="37">
        <v>2160485</v>
      </c>
      <c r="M156" s="87" t="s">
        <v>281</v>
      </c>
      <c r="N156" t="s">
        <v>333</v>
      </c>
      <c r="O156" t="s">
        <v>343</v>
      </c>
    </row>
    <row r="157" spans="1:15" ht="12.75" x14ac:dyDescent="0.2">
      <c r="A157" t="s">
        <v>531</v>
      </c>
      <c r="B157" s="75">
        <v>385701</v>
      </c>
      <c r="C157" s="75">
        <v>0</v>
      </c>
      <c r="D157" s="37">
        <v>385701</v>
      </c>
      <c r="E157" s="103">
        <v>204270</v>
      </c>
      <c r="F157" s="37">
        <v>0</v>
      </c>
      <c r="G157" s="75">
        <v>0</v>
      </c>
      <c r="H157" s="37">
        <v>0</v>
      </c>
      <c r="I157" s="75">
        <v>0</v>
      </c>
      <c r="J157" s="37">
        <v>8579</v>
      </c>
      <c r="K157" s="37">
        <v>0</v>
      </c>
      <c r="L157" s="37">
        <v>598496</v>
      </c>
      <c r="M157" s="87" t="s">
        <v>282</v>
      </c>
      <c r="N157" t="s">
        <v>340</v>
      </c>
      <c r="O157" t="s">
        <v>340</v>
      </c>
    </row>
    <row r="158" spans="1:15" ht="12.75" x14ac:dyDescent="0.2">
      <c r="A158" t="s">
        <v>283</v>
      </c>
      <c r="B158" s="75">
        <v>377</v>
      </c>
      <c r="C158" s="75">
        <v>0</v>
      </c>
      <c r="D158" s="37">
        <v>377</v>
      </c>
      <c r="E158" s="103">
        <v>178</v>
      </c>
      <c r="F158" s="37">
        <v>0</v>
      </c>
      <c r="G158" s="75">
        <v>346</v>
      </c>
      <c r="H158" s="37">
        <v>4806</v>
      </c>
      <c r="I158" s="75">
        <v>3734</v>
      </c>
      <c r="J158" s="37">
        <v>111</v>
      </c>
      <c r="K158" s="37">
        <v>0</v>
      </c>
      <c r="L158" s="37">
        <v>9441</v>
      </c>
      <c r="M158" s="87" t="s">
        <v>284</v>
      </c>
      <c r="N158" t="s">
        <v>339</v>
      </c>
      <c r="O158" t="s">
        <v>344</v>
      </c>
    </row>
    <row r="159" spans="1:15" ht="12.75" x14ac:dyDescent="0.2">
      <c r="A159" t="s">
        <v>285</v>
      </c>
      <c r="B159" s="75">
        <v>922474</v>
      </c>
      <c r="C159" s="75">
        <v>0</v>
      </c>
      <c r="D159" s="37">
        <v>922474</v>
      </c>
      <c r="E159" s="103">
        <v>39510</v>
      </c>
      <c r="F159" s="37">
        <v>0</v>
      </c>
      <c r="G159" s="75">
        <v>17238</v>
      </c>
      <c r="H159" s="37">
        <v>9052822</v>
      </c>
      <c r="I159" s="75">
        <v>0</v>
      </c>
      <c r="J159" s="37">
        <v>0</v>
      </c>
      <c r="K159" s="37">
        <v>3636</v>
      </c>
      <c r="L159" s="37">
        <v>10035680</v>
      </c>
      <c r="M159" s="87" t="s">
        <v>286</v>
      </c>
      <c r="N159" t="s">
        <v>333</v>
      </c>
      <c r="O159" t="s">
        <v>343</v>
      </c>
    </row>
    <row r="160" spans="1:15" ht="12.75" x14ac:dyDescent="0.2">
      <c r="A160" t="s">
        <v>287</v>
      </c>
      <c r="B160" s="75">
        <v>24</v>
      </c>
      <c r="C160" s="75">
        <v>0</v>
      </c>
      <c r="D160" s="37">
        <v>24</v>
      </c>
      <c r="E160" s="103">
        <v>2609</v>
      </c>
      <c r="F160" s="37">
        <v>0</v>
      </c>
      <c r="G160" s="75">
        <v>0</v>
      </c>
      <c r="H160" s="37">
        <v>0</v>
      </c>
      <c r="I160" s="75">
        <v>0</v>
      </c>
      <c r="J160" s="37">
        <v>0</v>
      </c>
      <c r="K160" s="37">
        <v>5</v>
      </c>
      <c r="L160" s="37">
        <v>2638</v>
      </c>
      <c r="M160" s="87" t="s">
        <v>288</v>
      </c>
      <c r="N160" t="s">
        <v>337</v>
      </c>
      <c r="O160" t="s">
        <v>346</v>
      </c>
    </row>
    <row r="161" spans="1:15" ht="12.75" x14ac:dyDescent="0.2">
      <c r="A161" t="s">
        <v>532</v>
      </c>
      <c r="B161" s="75">
        <v>237632</v>
      </c>
      <c r="C161" s="75">
        <v>0</v>
      </c>
      <c r="D161" s="37">
        <v>237632</v>
      </c>
      <c r="E161" s="103">
        <v>11271</v>
      </c>
      <c r="F161" s="37">
        <v>0</v>
      </c>
      <c r="G161" s="75">
        <v>0</v>
      </c>
      <c r="H161" s="37">
        <v>0</v>
      </c>
      <c r="I161" s="75">
        <v>0</v>
      </c>
      <c r="J161" s="37">
        <v>18698</v>
      </c>
      <c r="K161" s="37">
        <v>0</v>
      </c>
      <c r="L161" s="37">
        <v>250617</v>
      </c>
      <c r="M161" s="87" t="s">
        <v>290</v>
      </c>
      <c r="N161" t="s">
        <v>340</v>
      </c>
      <c r="O161" t="s">
        <v>340</v>
      </c>
    </row>
    <row r="162" spans="1:15" ht="12.75" x14ac:dyDescent="0.2">
      <c r="A162" t="s">
        <v>291</v>
      </c>
      <c r="B162" s="75">
        <v>192507</v>
      </c>
      <c r="C162" s="75">
        <v>0</v>
      </c>
      <c r="D162" s="37">
        <v>192507</v>
      </c>
      <c r="E162" s="103">
        <v>18884</v>
      </c>
      <c r="F162" s="37">
        <v>0</v>
      </c>
      <c r="G162" s="75">
        <v>0</v>
      </c>
      <c r="H162" s="37">
        <v>0</v>
      </c>
      <c r="I162" s="75">
        <v>0</v>
      </c>
      <c r="J162" s="37">
        <v>1185</v>
      </c>
      <c r="K162" s="37">
        <v>98</v>
      </c>
      <c r="L162" s="37">
        <v>211489</v>
      </c>
      <c r="M162" s="87" t="s">
        <v>292</v>
      </c>
      <c r="N162" t="s">
        <v>340</v>
      </c>
      <c r="O162" t="s">
        <v>340</v>
      </c>
    </row>
    <row r="163" spans="1:15" ht="12.75" x14ac:dyDescent="0.2">
      <c r="A163" t="s">
        <v>533</v>
      </c>
      <c r="B163" s="75">
        <v>12011</v>
      </c>
      <c r="C163" s="75">
        <v>0</v>
      </c>
      <c r="D163" s="37">
        <v>12011</v>
      </c>
      <c r="E163" s="103">
        <v>4861</v>
      </c>
      <c r="F163" s="37">
        <v>0</v>
      </c>
      <c r="G163" s="75">
        <v>37552</v>
      </c>
      <c r="H163" s="37">
        <v>7248188</v>
      </c>
      <c r="I163" s="75">
        <v>155325</v>
      </c>
      <c r="J163" s="37">
        <v>160000</v>
      </c>
      <c r="K163" s="37">
        <v>0</v>
      </c>
      <c r="L163" s="37">
        <v>7617937</v>
      </c>
      <c r="M163" s="87" t="s">
        <v>293</v>
      </c>
      <c r="N163" t="s">
        <v>341</v>
      </c>
      <c r="O163" t="s">
        <v>344</v>
      </c>
    </row>
    <row r="164" spans="1:15" ht="12.75" x14ac:dyDescent="0.2">
      <c r="A164" s="43" t="s">
        <v>559</v>
      </c>
      <c r="B164" s="75">
        <v>7092</v>
      </c>
      <c r="C164" s="75">
        <v>3000</v>
      </c>
      <c r="D164" s="37">
        <v>10092</v>
      </c>
      <c r="E164" s="103">
        <v>1387</v>
      </c>
      <c r="F164" s="37">
        <v>0</v>
      </c>
      <c r="G164" s="75">
        <v>0</v>
      </c>
      <c r="H164" s="37">
        <v>0</v>
      </c>
      <c r="I164" s="75">
        <v>0</v>
      </c>
      <c r="J164" s="37">
        <v>3827</v>
      </c>
      <c r="K164" s="37">
        <v>0</v>
      </c>
      <c r="L164" s="37">
        <v>15306</v>
      </c>
      <c r="M164" s="87" t="s">
        <v>295</v>
      </c>
      <c r="N164" t="s">
        <v>339</v>
      </c>
      <c r="O164" t="s">
        <v>344</v>
      </c>
    </row>
    <row r="165" spans="1:15" ht="12.75" x14ac:dyDescent="0.2">
      <c r="A165" t="s">
        <v>560</v>
      </c>
      <c r="B165" s="75">
        <v>43086</v>
      </c>
      <c r="C165" s="75">
        <v>44228</v>
      </c>
      <c r="D165" s="37">
        <v>87314</v>
      </c>
      <c r="E165" s="103">
        <v>1674</v>
      </c>
      <c r="F165" s="37">
        <v>0</v>
      </c>
      <c r="G165" s="75">
        <v>0</v>
      </c>
      <c r="H165" s="37">
        <v>0</v>
      </c>
      <c r="I165" s="75">
        <v>0</v>
      </c>
      <c r="J165" s="37">
        <v>587132</v>
      </c>
      <c r="K165" s="37">
        <v>584</v>
      </c>
      <c r="L165" s="37">
        <v>676120</v>
      </c>
      <c r="M165" s="87" t="s">
        <v>296</v>
      </c>
      <c r="N165" t="s">
        <v>339</v>
      </c>
      <c r="O165" t="s">
        <v>344</v>
      </c>
    </row>
    <row r="166" spans="1:15" ht="12.75" x14ac:dyDescent="0.2">
      <c r="A166" t="s">
        <v>297</v>
      </c>
      <c r="B166" s="75">
        <v>28240</v>
      </c>
      <c r="C166" s="75">
        <v>0</v>
      </c>
      <c r="D166" s="37">
        <v>28240</v>
      </c>
      <c r="E166" s="103">
        <v>4400</v>
      </c>
      <c r="F166" s="37">
        <v>0</v>
      </c>
      <c r="G166" s="75">
        <v>0</v>
      </c>
      <c r="H166" s="37">
        <v>9680</v>
      </c>
      <c r="I166" s="75">
        <v>0</v>
      </c>
      <c r="J166" s="37">
        <v>0</v>
      </c>
      <c r="K166" s="37">
        <v>0</v>
      </c>
      <c r="L166" s="37">
        <v>42320</v>
      </c>
      <c r="M166" s="87" t="s">
        <v>298</v>
      </c>
      <c r="N166" t="s">
        <v>335</v>
      </c>
      <c r="O166" t="s">
        <v>343</v>
      </c>
    </row>
    <row r="167" spans="1:15" ht="12.75" x14ac:dyDescent="0.2">
      <c r="A167" t="s">
        <v>299</v>
      </c>
      <c r="B167" s="75">
        <v>3205</v>
      </c>
      <c r="C167" s="75">
        <v>0</v>
      </c>
      <c r="D167" s="37">
        <v>3205</v>
      </c>
      <c r="E167" s="103">
        <v>28617</v>
      </c>
      <c r="F167" s="37">
        <v>7906</v>
      </c>
      <c r="G167" s="75">
        <v>0</v>
      </c>
      <c r="H167" s="37">
        <v>0</v>
      </c>
      <c r="I167" s="75">
        <v>0</v>
      </c>
      <c r="J167" s="37">
        <v>0</v>
      </c>
      <c r="K167" s="37">
        <v>1040</v>
      </c>
      <c r="L167" s="37">
        <v>40768</v>
      </c>
      <c r="M167" s="87" t="s">
        <v>300</v>
      </c>
      <c r="N167" t="s">
        <v>337</v>
      </c>
      <c r="O167" t="s">
        <v>346</v>
      </c>
    </row>
    <row r="168" spans="1:15" ht="12.75" x14ac:dyDescent="0.2">
      <c r="A168" t="s">
        <v>301</v>
      </c>
      <c r="B168" s="75">
        <v>3994</v>
      </c>
      <c r="C168" s="75">
        <v>0</v>
      </c>
      <c r="D168" s="37">
        <v>3994</v>
      </c>
      <c r="E168" s="103">
        <v>11093</v>
      </c>
      <c r="F168" s="37">
        <v>0</v>
      </c>
      <c r="G168" s="75">
        <v>0</v>
      </c>
      <c r="H168" s="37">
        <v>0</v>
      </c>
      <c r="I168" s="75">
        <v>0</v>
      </c>
      <c r="J168" s="37">
        <v>0</v>
      </c>
      <c r="K168" s="37">
        <v>23</v>
      </c>
      <c r="L168" s="37">
        <v>15110</v>
      </c>
      <c r="M168" s="87" t="s">
        <v>302</v>
      </c>
      <c r="N168" t="s">
        <v>341</v>
      </c>
      <c r="O168" t="s">
        <v>343</v>
      </c>
    </row>
    <row r="169" spans="1:15" ht="12.75" x14ac:dyDescent="0.2">
      <c r="A169" t="s">
        <v>561</v>
      </c>
      <c r="B169" s="75">
        <v>14</v>
      </c>
      <c r="C169" s="75">
        <v>3600</v>
      </c>
      <c r="D169" s="37">
        <v>3614</v>
      </c>
      <c r="E169" s="103">
        <v>0</v>
      </c>
      <c r="F169" s="37">
        <v>0</v>
      </c>
      <c r="G169" s="75">
        <v>0</v>
      </c>
      <c r="H169" s="37">
        <v>0</v>
      </c>
      <c r="I169" s="75">
        <v>0</v>
      </c>
      <c r="J169" s="37">
        <v>3583</v>
      </c>
      <c r="K169" s="37">
        <v>0</v>
      </c>
      <c r="L169" s="37">
        <v>7197</v>
      </c>
      <c r="M169" s="87" t="s">
        <v>305</v>
      </c>
      <c r="N169" t="s">
        <v>339</v>
      </c>
      <c r="O169" t="s">
        <v>344</v>
      </c>
    </row>
    <row r="170" spans="1:15" ht="12.75" x14ac:dyDescent="0.2">
      <c r="A170" t="s">
        <v>306</v>
      </c>
      <c r="B170" s="75">
        <v>7</v>
      </c>
      <c r="C170" s="75">
        <v>0</v>
      </c>
      <c r="D170" s="37">
        <v>7</v>
      </c>
      <c r="E170" s="103">
        <v>0</v>
      </c>
      <c r="F170" s="37">
        <v>0</v>
      </c>
      <c r="G170" s="75">
        <v>0</v>
      </c>
      <c r="H170" s="37">
        <v>0</v>
      </c>
      <c r="I170" s="75">
        <v>0</v>
      </c>
      <c r="J170" s="37">
        <v>0</v>
      </c>
      <c r="K170" s="37">
        <v>0</v>
      </c>
      <c r="L170" s="37">
        <v>7</v>
      </c>
      <c r="M170" s="87" t="s">
        <v>307</v>
      </c>
      <c r="N170" t="s">
        <v>337</v>
      </c>
      <c r="O170" t="s">
        <v>346</v>
      </c>
    </row>
    <row r="171" spans="1:15" ht="12.75" x14ac:dyDescent="0.2">
      <c r="A171" t="s">
        <v>303</v>
      </c>
      <c r="B171" s="75">
        <v>3251127</v>
      </c>
      <c r="C171" s="75">
        <v>0</v>
      </c>
      <c r="D171" s="37">
        <v>3251127</v>
      </c>
      <c r="E171" s="103">
        <v>222069</v>
      </c>
      <c r="F171" s="37">
        <v>0</v>
      </c>
      <c r="G171" s="75">
        <v>0</v>
      </c>
      <c r="H171" s="37">
        <v>0</v>
      </c>
      <c r="I171" s="75">
        <v>0</v>
      </c>
      <c r="J171" s="37">
        <v>415</v>
      </c>
      <c r="K171" s="37">
        <v>0</v>
      </c>
      <c r="L171" s="37">
        <v>3473611</v>
      </c>
      <c r="M171" s="87" t="s">
        <v>304</v>
      </c>
      <c r="N171" t="s">
        <v>340</v>
      </c>
      <c r="O171" t="s">
        <v>344</v>
      </c>
    </row>
    <row r="172" spans="1:15" ht="12.75" x14ac:dyDescent="0.2">
      <c r="A172" t="s">
        <v>562</v>
      </c>
      <c r="B172" s="75">
        <v>1577498</v>
      </c>
      <c r="C172" s="75">
        <v>0</v>
      </c>
      <c r="D172" s="37">
        <v>1577498</v>
      </c>
      <c r="E172" s="103">
        <v>37657</v>
      </c>
      <c r="F172" s="37">
        <v>0</v>
      </c>
      <c r="G172" s="75">
        <v>0</v>
      </c>
      <c r="H172" s="37">
        <v>0</v>
      </c>
      <c r="I172" s="75">
        <v>0</v>
      </c>
      <c r="J172" s="37">
        <v>67000</v>
      </c>
      <c r="K172" s="37">
        <v>0</v>
      </c>
      <c r="L172" s="37">
        <v>1682155</v>
      </c>
      <c r="M172" s="87" t="s">
        <v>308</v>
      </c>
      <c r="N172" t="s">
        <v>333</v>
      </c>
      <c r="O172" t="s">
        <v>343</v>
      </c>
    </row>
    <row r="173" spans="1:15" ht="12.75" x14ac:dyDescent="0.2">
      <c r="A173" t="s">
        <v>563</v>
      </c>
      <c r="B173" s="75">
        <v>2512</v>
      </c>
      <c r="C173" s="75">
        <v>0</v>
      </c>
      <c r="D173" s="37">
        <v>2512</v>
      </c>
      <c r="E173" s="103">
        <v>498</v>
      </c>
      <c r="F173" s="37">
        <v>0</v>
      </c>
      <c r="G173" s="75">
        <v>324573</v>
      </c>
      <c r="H173" s="37">
        <v>3689000</v>
      </c>
      <c r="I173" s="75">
        <v>1318680</v>
      </c>
      <c r="J173" s="37">
        <v>35765</v>
      </c>
      <c r="K173" s="37">
        <v>958361</v>
      </c>
      <c r="L173" s="37">
        <v>6329316</v>
      </c>
      <c r="M173" s="87" t="s">
        <v>309</v>
      </c>
      <c r="N173" t="s">
        <v>340</v>
      </c>
      <c r="O173" t="s">
        <v>340</v>
      </c>
    </row>
    <row r="174" spans="1:15" ht="12.75" x14ac:dyDescent="0.2">
      <c r="A174" t="s">
        <v>310</v>
      </c>
      <c r="B174" s="75">
        <v>1416</v>
      </c>
      <c r="C174" s="75">
        <v>0</v>
      </c>
      <c r="D174" s="37">
        <v>1416</v>
      </c>
      <c r="E174" s="103">
        <v>7044</v>
      </c>
      <c r="F174" s="37">
        <v>0</v>
      </c>
      <c r="G174" s="75">
        <v>0</v>
      </c>
      <c r="H174" s="37">
        <v>0</v>
      </c>
      <c r="I174" s="75">
        <v>0</v>
      </c>
      <c r="J174" s="37">
        <v>0</v>
      </c>
      <c r="K174" s="37">
        <v>113</v>
      </c>
      <c r="L174" s="37">
        <v>8573</v>
      </c>
      <c r="M174" s="87" t="s">
        <v>311</v>
      </c>
      <c r="N174" t="s">
        <v>341</v>
      </c>
      <c r="O174" t="s">
        <v>344</v>
      </c>
    </row>
    <row r="175" spans="1:15" ht="12.75" x14ac:dyDescent="0.2">
      <c r="A175" t="s">
        <v>564</v>
      </c>
      <c r="B175" s="75">
        <v>199104</v>
      </c>
      <c r="C175" s="75">
        <v>249516</v>
      </c>
      <c r="D175" s="37">
        <v>448620</v>
      </c>
      <c r="E175" s="103">
        <v>138156</v>
      </c>
      <c r="F175" s="37">
        <v>0</v>
      </c>
      <c r="G175" s="75">
        <v>0</v>
      </c>
      <c r="H175" s="37">
        <v>0</v>
      </c>
      <c r="I175" s="75">
        <v>0</v>
      </c>
      <c r="J175" s="37">
        <v>4547</v>
      </c>
      <c r="K175" s="37">
        <v>362</v>
      </c>
      <c r="L175" s="37">
        <v>587138</v>
      </c>
      <c r="M175" s="87" t="s">
        <v>312</v>
      </c>
      <c r="N175" t="s">
        <v>340</v>
      </c>
      <c r="O175" t="s">
        <v>340</v>
      </c>
    </row>
    <row r="176" spans="1:15" ht="12.75" x14ac:dyDescent="0.2">
      <c r="A176" t="s">
        <v>313</v>
      </c>
      <c r="B176" s="75">
        <v>188953</v>
      </c>
      <c r="C176" s="75">
        <v>0</v>
      </c>
      <c r="D176" s="37">
        <v>188953</v>
      </c>
      <c r="E176" s="103">
        <v>40143</v>
      </c>
      <c r="F176" s="37">
        <v>0</v>
      </c>
      <c r="G176" s="75">
        <v>0</v>
      </c>
      <c r="H176" s="37">
        <v>0</v>
      </c>
      <c r="I176" s="75">
        <v>0</v>
      </c>
      <c r="J176" s="37">
        <v>0</v>
      </c>
      <c r="K176" s="37">
        <v>12290</v>
      </c>
      <c r="L176" s="37">
        <v>241386</v>
      </c>
      <c r="M176" s="87" t="s">
        <v>314</v>
      </c>
      <c r="N176" t="s">
        <v>333</v>
      </c>
      <c r="O176" t="s">
        <v>343</v>
      </c>
    </row>
    <row r="177" spans="1:15" ht="12.75" x14ac:dyDescent="0.2">
      <c r="A177" t="s">
        <v>565</v>
      </c>
      <c r="B177" s="75">
        <v>409202</v>
      </c>
      <c r="C177" s="75">
        <v>0</v>
      </c>
      <c r="D177" s="37">
        <v>409202</v>
      </c>
      <c r="E177" s="103">
        <v>2601467</v>
      </c>
      <c r="F177" s="37">
        <v>0</v>
      </c>
      <c r="G177" s="75">
        <v>0</v>
      </c>
      <c r="H177" s="37">
        <v>0</v>
      </c>
      <c r="I177" s="75">
        <v>0</v>
      </c>
      <c r="J177" s="37">
        <v>0</v>
      </c>
      <c r="K177" s="37">
        <v>0</v>
      </c>
      <c r="L177" s="37">
        <v>3010669</v>
      </c>
      <c r="M177" s="87" t="s">
        <v>315</v>
      </c>
      <c r="N177" t="s">
        <v>337</v>
      </c>
      <c r="O177" t="s">
        <v>346</v>
      </c>
    </row>
    <row r="178" spans="1:15" ht="12.75" x14ac:dyDescent="0.2">
      <c r="A178" t="s">
        <v>316</v>
      </c>
      <c r="B178" s="75">
        <v>1285</v>
      </c>
      <c r="C178" s="75">
        <v>0</v>
      </c>
      <c r="D178" s="37">
        <v>1285</v>
      </c>
      <c r="E178" s="103">
        <v>24173</v>
      </c>
      <c r="F178" s="37">
        <v>28628</v>
      </c>
      <c r="G178" s="75">
        <v>0</v>
      </c>
      <c r="H178" s="37">
        <v>0</v>
      </c>
      <c r="I178" s="75">
        <v>0</v>
      </c>
      <c r="J178" s="37">
        <v>5</v>
      </c>
      <c r="K178" s="37">
        <v>0</v>
      </c>
      <c r="L178" s="37">
        <v>54086</v>
      </c>
      <c r="M178" s="87" t="s">
        <v>317</v>
      </c>
      <c r="N178" t="s">
        <v>337</v>
      </c>
      <c r="O178" t="s">
        <v>345</v>
      </c>
    </row>
    <row r="179" spans="1:15" ht="12.75" x14ac:dyDescent="0.2">
      <c r="A179" t="s">
        <v>566</v>
      </c>
      <c r="B179" s="75">
        <v>5</v>
      </c>
      <c r="C179" s="75">
        <v>9400</v>
      </c>
      <c r="D179" s="37">
        <v>9405</v>
      </c>
      <c r="E179" s="103">
        <v>0</v>
      </c>
      <c r="F179" s="37">
        <v>0</v>
      </c>
      <c r="G179" s="75">
        <v>0</v>
      </c>
      <c r="H179" s="37">
        <v>0</v>
      </c>
      <c r="I179" s="75">
        <v>0</v>
      </c>
      <c r="J179" s="37">
        <v>22496</v>
      </c>
      <c r="K179" s="37">
        <v>0</v>
      </c>
      <c r="L179" s="37">
        <v>31901</v>
      </c>
      <c r="M179" s="87" t="s">
        <v>318</v>
      </c>
      <c r="N179" t="s">
        <v>339</v>
      </c>
      <c r="O179" t="s">
        <v>344</v>
      </c>
    </row>
    <row r="180" spans="1:15" ht="12.75" x14ac:dyDescent="0.2">
      <c r="A180" t="s">
        <v>439</v>
      </c>
      <c r="B180" s="75">
        <v>0</v>
      </c>
      <c r="C180" s="75">
        <v>0</v>
      </c>
      <c r="D180" s="37">
        <v>0</v>
      </c>
      <c r="E180" s="103">
        <v>5</v>
      </c>
      <c r="F180" s="37">
        <v>0</v>
      </c>
      <c r="G180" s="75">
        <v>0</v>
      </c>
      <c r="H180" s="37">
        <v>0</v>
      </c>
      <c r="I180" s="75">
        <v>0</v>
      </c>
      <c r="J180" s="37">
        <v>0</v>
      </c>
      <c r="K180" s="37">
        <v>0</v>
      </c>
      <c r="L180" s="37">
        <v>5</v>
      </c>
      <c r="M180" s="87" t="s">
        <v>440</v>
      </c>
      <c r="N180" t="s">
        <v>339</v>
      </c>
      <c r="O180" t="s">
        <v>347</v>
      </c>
    </row>
    <row r="181" spans="1:15" ht="12.75" x14ac:dyDescent="0.2">
      <c r="A181" t="s">
        <v>319</v>
      </c>
      <c r="B181" s="75">
        <v>9336</v>
      </c>
      <c r="C181" s="75">
        <v>20000</v>
      </c>
      <c r="D181" s="37">
        <v>29336</v>
      </c>
      <c r="E181" s="103">
        <v>1578</v>
      </c>
      <c r="F181" s="37">
        <v>0</v>
      </c>
      <c r="G181" s="75">
        <v>0</v>
      </c>
      <c r="H181" s="37">
        <v>0</v>
      </c>
      <c r="I181" s="75">
        <v>0</v>
      </c>
      <c r="J181" s="37">
        <v>0</v>
      </c>
      <c r="K181" s="37">
        <v>3206577</v>
      </c>
      <c r="L181" s="37">
        <v>3237491</v>
      </c>
      <c r="M181" s="87" t="s">
        <v>320</v>
      </c>
      <c r="N181" t="s">
        <v>337</v>
      </c>
      <c r="O181" t="s">
        <v>345</v>
      </c>
    </row>
    <row r="182" spans="1:15" ht="12.75" x14ac:dyDescent="0.2">
      <c r="A182" t="s">
        <v>321</v>
      </c>
      <c r="B182" s="75">
        <v>19</v>
      </c>
      <c r="C182" s="75">
        <v>0</v>
      </c>
      <c r="D182" s="37">
        <v>19</v>
      </c>
      <c r="E182" s="103">
        <v>0</v>
      </c>
      <c r="F182" s="37">
        <v>0</v>
      </c>
      <c r="G182" s="75">
        <v>0</v>
      </c>
      <c r="H182" s="37">
        <v>0</v>
      </c>
      <c r="I182" s="75">
        <v>0</v>
      </c>
      <c r="J182" s="37">
        <v>26811</v>
      </c>
      <c r="K182" s="37">
        <v>0</v>
      </c>
      <c r="L182" s="37">
        <v>26830</v>
      </c>
      <c r="M182" s="87" t="s">
        <v>322</v>
      </c>
      <c r="N182" t="s">
        <v>339</v>
      </c>
      <c r="O182" t="s">
        <v>344</v>
      </c>
    </row>
    <row r="183" spans="1:15" ht="12.75" x14ac:dyDescent="0.2">
      <c r="A183" t="s">
        <v>323</v>
      </c>
      <c r="B183" s="75">
        <v>0</v>
      </c>
      <c r="C183" s="75">
        <v>0</v>
      </c>
      <c r="D183" s="37">
        <v>0</v>
      </c>
      <c r="E183" s="103">
        <v>0</v>
      </c>
      <c r="F183" s="37">
        <v>0</v>
      </c>
      <c r="G183" s="75">
        <v>6</v>
      </c>
      <c r="H183" s="37">
        <v>0</v>
      </c>
      <c r="I183" s="75">
        <v>0</v>
      </c>
      <c r="J183" s="37">
        <v>0</v>
      </c>
      <c r="K183" s="37">
        <v>0</v>
      </c>
      <c r="L183" s="37">
        <v>6</v>
      </c>
      <c r="M183" s="87" t="s">
        <v>324</v>
      </c>
      <c r="N183" t="s">
        <v>341</v>
      </c>
      <c r="O183" t="s">
        <v>343</v>
      </c>
    </row>
    <row r="184" spans="1:15" ht="12.75" x14ac:dyDescent="0.2">
      <c r="A184" t="s">
        <v>325</v>
      </c>
      <c r="B184" s="75">
        <v>55568</v>
      </c>
      <c r="C184" s="75">
        <v>0</v>
      </c>
      <c r="D184" s="37">
        <v>55568</v>
      </c>
      <c r="E184" s="103">
        <v>15259</v>
      </c>
      <c r="F184" s="37">
        <v>0</v>
      </c>
      <c r="G184" s="75">
        <v>11</v>
      </c>
      <c r="H184" s="37">
        <v>4516341</v>
      </c>
      <c r="I184" s="75">
        <v>0</v>
      </c>
      <c r="J184" s="37">
        <v>0</v>
      </c>
      <c r="K184" s="37">
        <v>15</v>
      </c>
      <c r="L184" s="37">
        <v>4587194</v>
      </c>
      <c r="M184" s="87" t="s">
        <v>326</v>
      </c>
      <c r="N184" t="s">
        <v>341</v>
      </c>
      <c r="O184" t="s">
        <v>344</v>
      </c>
    </row>
    <row r="185" spans="1:15" ht="12.75" x14ac:dyDescent="0.2">
      <c r="A185" t="s">
        <v>327</v>
      </c>
      <c r="B185" s="75">
        <v>72411</v>
      </c>
      <c r="C185" s="75">
        <v>0</v>
      </c>
      <c r="D185" s="37">
        <v>72411</v>
      </c>
      <c r="E185" s="103">
        <v>5549</v>
      </c>
      <c r="F185" s="37">
        <v>0</v>
      </c>
      <c r="G185" s="75">
        <v>0</v>
      </c>
      <c r="H185" s="37">
        <v>0</v>
      </c>
      <c r="I185" s="75">
        <v>0</v>
      </c>
      <c r="J185" s="37">
        <v>0</v>
      </c>
      <c r="K185" s="37">
        <v>17550</v>
      </c>
      <c r="L185" s="37">
        <v>95510</v>
      </c>
      <c r="M185" s="87" t="s">
        <v>328</v>
      </c>
      <c r="N185" t="s">
        <v>334</v>
      </c>
      <c r="O185" t="s">
        <v>343</v>
      </c>
    </row>
    <row r="186" spans="1:15" ht="12.75" x14ac:dyDescent="0.2">
      <c r="A186" t="s">
        <v>329</v>
      </c>
      <c r="B186" s="75">
        <v>10114</v>
      </c>
      <c r="C186" s="75">
        <v>0</v>
      </c>
      <c r="D186" s="37">
        <v>10114</v>
      </c>
      <c r="E186" s="103">
        <v>12451</v>
      </c>
      <c r="F186" s="37">
        <v>0</v>
      </c>
      <c r="G186" s="75">
        <v>0</v>
      </c>
      <c r="H186" s="37">
        <v>0</v>
      </c>
      <c r="I186" s="75">
        <v>0</v>
      </c>
      <c r="J186" s="37">
        <v>0</v>
      </c>
      <c r="K186" s="37">
        <v>1003</v>
      </c>
      <c r="L186" s="37">
        <v>23568</v>
      </c>
      <c r="M186" s="87" t="s">
        <v>330</v>
      </c>
      <c r="N186" t="s">
        <v>334</v>
      </c>
      <c r="O186" t="s">
        <v>343</v>
      </c>
    </row>
    <row r="187" spans="1:15" ht="12.75" x14ac:dyDescent="0.2">
      <c r="A187" t="s">
        <v>463</v>
      </c>
      <c r="B187" s="75">
        <v>0</v>
      </c>
      <c r="C187" s="75">
        <v>0</v>
      </c>
      <c r="D187" s="37">
        <v>0</v>
      </c>
      <c r="E187" s="103">
        <v>0</v>
      </c>
      <c r="F187" s="37">
        <v>0</v>
      </c>
      <c r="G187" s="75">
        <v>6</v>
      </c>
      <c r="H187" s="37">
        <v>0</v>
      </c>
      <c r="I187" s="75">
        <v>0</v>
      </c>
      <c r="J187" s="37">
        <v>0</v>
      </c>
      <c r="K187" s="37">
        <v>0</v>
      </c>
      <c r="L187" s="37">
        <v>6</v>
      </c>
      <c r="M187" s="87" t="s">
        <v>444</v>
      </c>
      <c r="N187"/>
      <c r="O187"/>
    </row>
    <row r="188" spans="1:15" ht="18.75" customHeight="1" x14ac:dyDescent="0.2">
      <c r="A188" s="17" t="s">
        <v>331</v>
      </c>
      <c r="B188" s="76">
        <f t="shared" ref="B188:M188" si="0">SUM(B9:B187)</f>
        <v>25765364</v>
      </c>
      <c r="C188" s="76">
        <f t="shared" si="0"/>
        <v>5872044</v>
      </c>
      <c r="D188" s="18">
        <f t="shared" si="0"/>
        <v>31637408</v>
      </c>
      <c r="E188" s="18">
        <f t="shared" si="0"/>
        <v>6858499</v>
      </c>
      <c r="F188" s="18">
        <f t="shared" si="0"/>
        <v>5755363</v>
      </c>
      <c r="G188" s="76">
        <f t="shared" si="0"/>
        <v>1052074</v>
      </c>
      <c r="H188" s="18">
        <f t="shared" si="0"/>
        <v>63251367</v>
      </c>
      <c r="I188" s="76">
        <f t="shared" si="0"/>
        <v>5092064</v>
      </c>
      <c r="J188" s="18">
        <f t="shared" si="0"/>
        <v>4358188</v>
      </c>
      <c r="K188" s="18">
        <f t="shared" si="0"/>
        <v>5945550</v>
      </c>
      <c r="L188" s="18">
        <f t="shared" si="0"/>
        <v>122622849</v>
      </c>
      <c r="M188" s="76">
        <f t="shared" si="0"/>
        <v>0</v>
      </c>
    </row>
    <row r="189" spans="1:15" ht="22.5" customHeight="1" x14ac:dyDescent="0.2">
      <c r="A189" s="23"/>
      <c r="B189" s="77"/>
      <c r="C189" s="77"/>
      <c r="D189" s="21"/>
      <c r="E189" s="21"/>
      <c r="F189" s="21"/>
      <c r="G189" s="77"/>
      <c r="H189" s="21"/>
      <c r="I189" s="77"/>
      <c r="J189" s="21"/>
      <c r="K189" s="21"/>
      <c r="L189" s="21"/>
      <c r="M189" s="88"/>
    </row>
    <row r="190" spans="1:15" x14ac:dyDescent="0.2">
      <c r="A190" s="24"/>
      <c r="B190" s="80"/>
      <c r="C190" s="80"/>
      <c r="D190" s="25"/>
      <c r="E190" s="25"/>
      <c r="F190" s="25"/>
      <c r="G190" s="80"/>
      <c r="H190" s="25"/>
      <c r="I190" s="80"/>
      <c r="J190" s="25"/>
      <c r="K190" s="25"/>
      <c r="L190" s="25"/>
      <c r="M190" s="88"/>
    </row>
    <row r="191" spans="1:15" x14ac:dyDescent="0.2">
      <c r="A191" s="26" t="s">
        <v>348</v>
      </c>
      <c r="B191" s="83"/>
      <c r="C191" s="81"/>
      <c r="D191" s="27"/>
      <c r="E191" s="27"/>
      <c r="F191" s="27"/>
      <c r="G191" s="81"/>
      <c r="H191" s="27"/>
      <c r="I191" s="83"/>
      <c r="J191" s="27"/>
      <c r="K191" s="27"/>
      <c r="L191" s="27"/>
      <c r="M191" s="88"/>
    </row>
    <row r="192" spans="1:15" ht="12" x14ac:dyDescent="0.2">
      <c r="A192" s="121" t="s">
        <v>349</v>
      </c>
      <c r="B192" s="121"/>
      <c r="C192" s="121"/>
      <c r="D192" s="121"/>
      <c r="E192" s="121"/>
      <c r="F192" s="121"/>
      <c r="G192" s="121"/>
      <c r="H192" s="121"/>
      <c r="I192" s="121"/>
      <c r="J192" s="121"/>
      <c r="K192" s="121"/>
      <c r="L192" s="121"/>
      <c r="M192" s="88"/>
    </row>
    <row r="193" spans="1:16" ht="13.5" x14ac:dyDescent="0.2">
      <c r="A193" s="120" t="s">
        <v>350</v>
      </c>
      <c r="B193" s="120"/>
      <c r="C193" s="120"/>
      <c r="D193" s="120"/>
      <c r="E193" s="120"/>
      <c r="F193" s="120"/>
      <c r="G193" s="120"/>
      <c r="H193" s="120"/>
      <c r="I193" s="120"/>
      <c r="J193" s="120"/>
      <c r="K193" s="120"/>
      <c r="L193" s="120"/>
      <c r="M193" s="88"/>
    </row>
    <row r="194" spans="1:16" ht="13.5" x14ac:dyDescent="0.2">
      <c r="A194" s="120" t="s">
        <v>351</v>
      </c>
      <c r="B194" s="120"/>
      <c r="C194" s="120"/>
      <c r="D194" s="120"/>
      <c r="E194" s="120"/>
      <c r="F194" s="120"/>
      <c r="G194" s="120"/>
      <c r="H194" s="120"/>
      <c r="I194" s="120"/>
      <c r="J194" s="120"/>
      <c r="K194" s="120"/>
      <c r="L194" s="120"/>
      <c r="M194" s="88"/>
      <c r="P194" s="4" t="s">
        <v>338</v>
      </c>
    </row>
    <row r="195" spans="1:16" ht="13.5" x14ac:dyDescent="0.2">
      <c r="A195" s="120" t="s">
        <v>352</v>
      </c>
      <c r="B195" s="120"/>
      <c r="C195" s="120"/>
      <c r="D195" s="120"/>
      <c r="E195" s="120"/>
      <c r="F195" s="120"/>
      <c r="G195" s="120"/>
      <c r="H195" s="120"/>
      <c r="I195" s="120"/>
      <c r="J195" s="120"/>
      <c r="K195" s="120"/>
      <c r="L195" s="120"/>
      <c r="M195" s="88"/>
    </row>
    <row r="196" spans="1:16" ht="13.5" x14ac:dyDescent="0.2">
      <c r="A196" s="120" t="s">
        <v>495</v>
      </c>
      <c r="B196" s="120"/>
      <c r="C196" s="120"/>
      <c r="D196" s="120"/>
      <c r="E196" s="120"/>
      <c r="F196" s="120"/>
      <c r="G196" s="120"/>
      <c r="H196" s="120"/>
      <c r="I196" s="120"/>
      <c r="J196" s="120"/>
      <c r="K196" s="120"/>
      <c r="L196" s="120"/>
      <c r="M196" s="88"/>
    </row>
    <row r="197" spans="1:16" ht="12" x14ac:dyDescent="0.2">
      <c r="A197" s="119" t="s">
        <v>353</v>
      </c>
      <c r="B197" s="119"/>
      <c r="C197" s="119"/>
      <c r="D197" s="119"/>
      <c r="E197" s="119"/>
      <c r="F197" s="119"/>
      <c r="G197" s="119"/>
      <c r="H197" s="119"/>
      <c r="I197" s="119"/>
      <c r="J197" s="119"/>
      <c r="K197" s="119"/>
      <c r="L197" s="119"/>
      <c r="M197" s="88"/>
    </row>
    <row r="198" spans="1:16" ht="13.5" x14ac:dyDescent="0.2">
      <c r="A198" s="120" t="s">
        <v>354</v>
      </c>
      <c r="B198" s="120"/>
      <c r="C198" s="120"/>
      <c r="D198" s="120"/>
      <c r="E198" s="120"/>
      <c r="F198" s="120"/>
      <c r="G198" s="120"/>
      <c r="H198" s="120"/>
      <c r="I198" s="120"/>
      <c r="J198" s="120"/>
      <c r="K198" s="120"/>
      <c r="L198" s="120"/>
      <c r="M198" s="88"/>
    </row>
    <row r="199" spans="1:16" ht="18.75" customHeight="1" x14ac:dyDescent="0.2">
      <c r="A199" s="120" t="s">
        <v>355</v>
      </c>
      <c r="B199" s="120"/>
      <c r="C199" s="120"/>
      <c r="D199" s="120"/>
      <c r="E199" s="120"/>
      <c r="F199" s="120"/>
      <c r="G199" s="120"/>
      <c r="H199" s="120"/>
      <c r="I199" s="120"/>
      <c r="J199" s="120"/>
      <c r="K199" s="120"/>
      <c r="L199" s="120"/>
      <c r="M199" s="88"/>
    </row>
    <row r="200" spans="1:16" ht="13.5" x14ac:dyDescent="0.2">
      <c r="A200" s="120" t="s">
        <v>356</v>
      </c>
      <c r="B200" s="120"/>
      <c r="C200" s="120"/>
      <c r="D200" s="120"/>
      <c r="E200" s="120"/>
      <c r="F200" s="120"/>
      <c r="G200" s="120"/>
      <c r="H200" s="120"/>
      <c r="I200" s="120"/>
      <c r="J200" s="120"/>
      <c r="K200" s="120"/>
      <c r="L200" s="120"/>
      <c r="M200" s="88"/>
    </row>
    <row r="201" spans="1:16" ht="22.5" customHeight="1" x14ac:dyDescent="0.2">
      <c r="A201" s="120" t="s">
        <v>357</v>
      </c>
      <c r="B201" s="120"/>
      <c r="C201" s="120"/>
      <c r="D201" s="120"/>
      <c r="E201" s="120"/>
      <c r="F201" s="120"/>
      <c r="G201" s="120"/>
      <c r="H201" s="120"/>
      <c r="I201" s="120"/>
      <c r="J201" s="120"/>
      <c r="K201" s="120"/>
      <c r="L201" s="120"/>
      <c r="M201" s="88"/>
    </row>
    <row r="202" spans="1:16" ht="13.5" x14ac:dyDescent="0.2">
      <c r="A202" s="118" t="s">
        <v>464</v>
      </c>
      <c r="B202" s="118"/>
      <c r="C202" s="118"/>
      <c r="D202" s="118"/>
      <c r="E202" s="118"/>
      <c r="F202" s="118"/>
      <c r="G202" s="118"/>
      <c r="H202" s="118"/>
      <c r="I202" s="118"/>
      <c r="J202" s="118"/>
      <c r="K202" s="118"/>
      <c r="L202" s="118"/>
      <c r="M202" s="88"/>
    </row>
    <row r="203" spans="1:16" ht="12" x14ac:dyDescent="0.2">
      <c r="A203" s="117" t="s">
        <v>467</v>
      </c>
      <c r="B203" s="117"/>
      <c r="C203" s="117"/>
      <c r="D203" s="117"/>
      <c r="E203" s="117"/>
      <c r="F203" s="117"/>
      <c r="G203" s="117"/>
      <c r="H203" s="117"/>
      <c r="I203" s="117"/>
      <c r="J203" s="117"/>
      <c r="K203" s="117"/>
      <c r="L203" s="117"/>
      <c r="M203" s="88"/>
    </row>
    <row r="204" spans="1:16" ht="12" x14ac:dyDescent="0.2">
      <c r="A204" s="116" t="s">
        <v>468</v>
      </c>
      <c r="B204" s="116"/>
      <c r="C204" s="116"/>
      <c r="D204" s="116"/>
      <c r="E204" s="116"/>
      <c r="F204" s="116"/>
      <c r="G204" s="116"/>
      <c r="H204" s="116"/>
      <c r="I204" s="116"/>
      <c r="J204" s="116"/>
      <c r="K204" s="116"/>
      <c r="L204" s="116"/>
      <c r="M204" s="88"/>
    </row>
    <row r="205" spans="1:16" ht="12" x14ac:dyDescent="0.2">
      <c r="A205" s="117" t="s">
        <v>534</v>
      </c>
      <c r="B205" s="117"/>
      <c r="C205" s="117"/>
      <c r="D205" s="117"/>
      <c r="E205" s="117"/>
      <c r="F205" s="117"/>
      <c r="G205" s="117"/>
      <c r="H205" s="117"/>
      <c r="I205" s="117"/>
      <c r="J205" s="117"/>
      <c r="K205" s="117"/>
      <c r="L205" s="117"/>
      <c r="M205" s="88"/>
    </row>
    <row r="206" spans="1:16" ht="12" x14ac:dyDescent="0.2">
      <c r="A206" s="117" t="s">
        <v>535</v>
      </c>
      <c r="B206" s="117"/>
      <c r="C206" s="117"/>
      <c r="D206" s="117"/>
      <c r="E206" s="117"/>
      <c r="F206" s="117"/>
      <c r="G206" s="117"/>
      <c r="H206" s="117"/>
      <c r="I206" s="117"/>
      <c r="J206" s="117"/>
      <c r="K206" s="117"/>
      <c r="L206" s="117"/>
      <c r="M206" s="88"/>
    </row>
    <row r="207" spans="1:16" ht="12" x14ac:dyDescent="0.2">
      <c r="A207" s="117" t="s">
        <v>536</v>
      </c>
      <c r="B207" s="117"/>
      <c r="C207" s="117"/>
      <c r="D207" s="117"/>
      <c r="E207" s="117"/>
      <c r="F207" s="117"/>
      <c r="G207" s="117"/>
      <c r="H207" s="117"/>
      <c r="I207" s="117"/>
      <c r="J207" s="117"/>
      <c r="K207" s="117"/>
      <c r="L207" s="117"/>
      <c r="M207" s="88"/>
    </row>
    <row r="208" spans="1:16" ht="12" x14ac:dyDescent="0.2">
      <c r="A208" s="117" t="s">
        <v>583</v>
      </c>
      <c r="B208" s="117"/>
      <c r="C208" s="117"/>
      <c r="D208" s="117"/>
      <c r="E208" s="117"/>
      <c r="F208" s="117"/>
      <c r="G208" s="117"/>
      <c r="H208" s="117"/>
      <c r="I208" s="117"/>
      <c r="J208" s="117"/>
      <c r="K208" s="117"/>
      <c r="L208" s="117"/>
      <c r="M208" s="88"/>
    </row>
    <row r="209" spans="1:13" ht="18.75" customHeight="1" x14ac:dyDescent="0.2">
      <c r="A209" s="117" t="s">
        <v>537</v>
      </c>
      <c r="B209" s="117"/>
      <c r="C209" s="117"/>
      <c r="D209" s="117"/>
      <c r="E209" s="117"/>
      <c r="F209" s="117"/>
      <c r="G209" s="117"/>
      <c r="H209" s="117"/>
      <c r="I209" s="117"/>
      <c r="J209" s="117"/>
      <c r="K209" s="117"/>
      <c r="L209" s="117"/>
      <c r="M209" s="88"/>
    </row>
    <row r="210" spans="1:13" ht="12" x14ac:dyDescent="0.2">
      <c r="A210" s="116" t="s">
        <v>538</v>
      </c>
      <c r="B210" s="116"/>
      <c r="C210" s="116"/>
      <c r="D210" s="116"/>
      <c r="E210" s="116"/>
      <c r="F210" s="116"/>
      <c r="G210" s="116"/>
      <c r="H210" s="116"/>
      <c r="I210" s="116"/>
      <c r="J210" s="116"/>
      <c r="K210" s="116"/>
      <c r="L210" s="116"/>
      <c r="M210" s="80"/>
    </row>
    <row r="211" spans="1:13" ht="14.1" customHeight="1" x14ac:dyDescent="0.2">
      <c r="A211" s="117" t="s">
        <v>539</v>
      </c>
      <c r="B211" s="117"/>
      <c r="C211" s="117"/>
      <c r="D211" s="117"/>
      <c r="E211" s="117"/>
      <c r="F211" s="117"/>
      <c r="G211" s="117"/>
      <c r="H211" s="117"/>
      <c r="I211" s="117"/>
      <c r="J211" s="117"/>
      <c r="K211" s="117"/>
      <c r="L211" s="117"/>
      <c r="M211" s="89"/>
    </row>
    <row r="212" spans="1:13" ht="14.1" customHeight="1" x14ac:dyDescent="0.2">
      <c r="A212" s="116" t="s">
        <v>540</v>
      </c>
      <c r="B212" s="116"/>
      <c r="C212" s="116"/>
      <c r="D212" s="116"/>
      <c r="E212" s="116"/>
      <c r="F212" s="116"/>
      <c r="G212" s="116"/>
      <c r="H212" s="116"/>
      <c r="I212" s="116"/>
      <c r="J212" s="116"/>
      <c r="K212" s="116"/>
      <c r="L212" s="116"/>
      <c r="M212" s="90"/>
    </row>
    <row r="213" spans="1:13" ht="14.1" customHeight="1" x14ac:dyDescent="0.2">
      <c r="A213" s="117" t="s">
        <v>541</v>
      </c>
      <c r="B213" s="117"/>
      <c r="C213" s="117"/>
      <c r="D213" s="117"/>
      <c r="E213" s="117"/>
      <c r="F213" s="117"/>
      <c r="G213" s="117"/>
      <c r="H213" s="117"/>
      <c r="I213" s="117"/>
      <c r="J213" s="117"/>
      <c r="K213" s="117"/>
      <c r="L213" s="117"/>
      <c r="M213" s="91"/>
    </row>
    <row r="214" spans="1:13" ht="45" customHeight="1" x14ac:dyDescent="0.2">
      <c r="A214" s="117" t="s">
        <v>542</v>
      </c>
      <c r="B214" s="117"/>
      <c r="C214" s="117"/>
      <c r="D214" s="117"/>
      <c r="E214" s="117"/>
      <c r="F214" s="117"/>
      <c r="G214" s="117"/>
      <c r="H214" s="117"/>
      <c r="I214" s="117"/>
      <c r="J214" s="117"/>
      <c r="K214" s="117"/>
      <c r="L214" s="117"/>
      <c r="M214" s="91"/>
    </row>
    <row r="215" spans="1:13" ht="26.1" customHeight="1" x14ac:dyDescent="0.2">
      <c r="A215" s="116" t="s">
        <v>543</v>
      </c>
      <c r="B215" s="116"/>
      <c r="C215" s="116"/>
      <c r="D215" s="116"/>
      <c r="E215" s="116"/>
      <c r="F215" s="116"/>
      <c r="G215" s="116"/>
      <c r="H215" s="116"/>
      <c r="I215" s="116"/>
      <c r="J215" s="116"/>
      <c r="K215" s="116"/>
      <c r="L215" s="116"/>
      <c r="M215" s="91"/>
    </row>
    <row r="216" spans="1:13" ht="26.1" customHeight="1" x14ac:dyDescent="0.2">
      <c r="A216" s="117" t="s">
        <v>567</v>
      </c>
      <c r="B216" s="117"/>
      <c r="C216" s="117"/>
      <c r="D216" s="117"/>
      <c r="E216" s="117"/>
      <c r="F216" s="117"/>
      <c r="G216" s="117"/>
      <c r="H216" s="117"/>
      <c r="I216" s="117"/>
      <c r="J216" s="117"/>
      <c r="K216" s="117"/>
      <c r="L216" s="117"/>
      <c r="M216" s="91"/>
    </row>
    <row r="217" spans="1:13" ht="30" customHeight="1" x14ac:dyDescent="0.2">
      <c r="A217" s="116" t="s">
        <v>608</v>
      </c>
      <c r="B217" s="116"/>
      <c r="C217" s="116"/>
      <c r="D217" s="116"/>
      <c r="E217" s="116"/>
      <c r="F217" s="116"/>
      <c r="G217" s="116"/>
      <c r="H217" s="116"/>
      <c r="I217" s="116"/>
      <c r="J217" s="116"/>
      <c r="K217" s="116"/>
      <c r="L217" s="116"/>
    </row>
    <row r="218" spans="1:13" ht="14.1" customHeight="1" x14ac:dyDescent="0.2">
      <c r="A218" s="116" t="s">
        <v>544</v>
      </c>
      <c r="B218" s="116"/>
      <c r="C218" s="116"/>
      <c r="D218" s="116"/>
      <c r="E218" s="116"/>
      <c r="F218" s="116"/>
      <c r="G218" s="116"/>
      <c r="H218" s="116"/>
      <c r="I218" s="116"/>
      <c r="J218" s="116"/>
      <c r="K218" s="116"/>
      <c r="L218" s="116"/>
      <c r="M218" s="91"/>
    </row>
    <row r="219" spans="1:13" ht="42" customHeight="1" x14ac:dyDescent="0.2">
      <c r="A219" s="117" t="s">
        <v>568</v>
      </c>
      <c r="B219" s="117"/>
      <c r="C219" s="117"/>
      <c r="D219" s="117"/>
      <c r="E219" s="117"/>
      <c r="F219" s="117"/>
      <c r="G219" s="117"/>
      <c r="H219" s="117"/>
      <c r="I219" s="117"/>
      <c r="J219" s="117"/>
      <c r="K219" s="117"/>
      <c r="L219" s="117"/>
      <c r="M219" s="91"/>
    </row>
    <row r="220" spans="1:13" ht="14.1" customHeight="1" x14ac:dyDescent="0.2">
      <c r="A220" s="116" t="s">
        <v>545</v>
      </c>
      <c r="B220" s="116"/>
      <c r="C220" s="116"/>
      <c r="D220" s="116"/>
      <c r="E220" s="116"/>
      <c r="F220" s="116"/>
      <c r="G220" s="116"/>
      <c r="H220" s="116"/>
      <c r="I220" s="116"/>
      <c r="J220" s="116"/>
      <c r="K220" s="116"/>
      <c r="L220" s="116"/>
      <c r="M220" s="91"/>
    </row>
    <row r="221" spans="1:13" ht="63" customHeight="1" x14ac:dyDescent="0.2">
      <c r="A221" s="117" t="s">
        <v>569</v>
      </c>
      <c r="B221" s="117"/>
      <c r="C221" s="117"/>
      <c r="D221" s="117"/>
      <c r="E221" s="117"/>
      <c r="F221" s="117"/>
      <c r="G221" s="117"/>
      <c r="H221" s="117"/>
      <c r="I221" s="117"/>
      <c r="J221" s="117"/>
      <c r="K221" s="117"/>
      <c r="L221" s="117"/>
    </row>
    <row r="222" spans="1:13" ht="27.75" customHeight="1" x14ac:dyDescent="0.2">
      <c r="A222" s="117" t="s">
        <v>570</v>
      </c>
      <c r="B222" s="117"/>
      <c r="C222" s="117"/>
      <c r="D222" s="117"/>
      <c r="E222" s="117"/>
      <c r="F222" s="117"/>
      <c r="G222" s="117"/>
      <c r="H222" s="117"/>
      <c r="I222" s="117"/>
      <c r="J222" s="117"/>
      <c r="K222" s="117"/>
      <c r="L222" s="117"/>
    </row>
    <row r="223" spans="1:13" ht="13.5" customHeight="1" x14ac:dyDescent="0.2">
      <c r="A223" s="117" t="s">
        <v>546</v>
      </c>
      <c r="B223" s="117"/>
      <c r="C223" s="117"/>
      <c r="D223" s="117"/>
      <c r="E223" s="117"/>
      <c r="F223" s="117"/>
      <c r="G223" s="117"/>
      <c r="H223" s="117"/>
      <c r="I223" s="117"/>
      <c r="J223" s="117"/>
      <c r="K223" s="117"/>
      <c r="L223" s="117"/>
    </row>
    <row r="224" spans="1:13" ht="35.25" customHeight="1" x14ac:dyDescent="0.2">
      <c r="A224" s="116" t="s">
        <v>580</v>
      </c>
      <c r="B224" s="116"/>
      <c r="C224" s="116"/>
      <c r="D224" s="116"/>
      <c r="E224" s="116"/>
      <c r="F224" s="116"/>
      <c r="G224" s="116"/>
      <c r="H224" s="116"/>
      <c r="I224" s="116"/>
      <c r="J224" s="116"/>
      <c r="K224" s="116"/>
      <c r="L224" s="116"/>
    </row>
    <row r="225" spans="1:12" ht="12" x14ac:dyDescent="0.2">
      <c r="A225" s="117" t="s">
        <v>547</v>
      </c>
      <c r="B225" s="117"/>
      <c r="C225" s="117"/>
      <c r="D225" s="117"/>
      <c r="E225" s="117"/>
      <c r="F225" s="117"/>
      <c r="G225" s="117"/>
      <c r="H225" s="117"/>
      <c r="I225" s="117"/>
      <c r="J225" s="117"/>
      <c r="K225" s="117"/>
      <c r="L225" s="117"/>
    </row>
    <row r="226" spans="1:12" ht="12" x14ac:dyDescent="0.2">
      <c r="A226" s="116" t="s">
        <v>548</v>
      </c>
      <c r="B226" s="116"/>
      <c r="C226" s="116"/>
      <c r="D226" s="116"/>
      <c r="E226" s="116"/>
      <c r="F226" s="116"/>
      <c r="G226" s="116"/>
      <c r="H226" s="116"/>
      <c r="I226" s="116"/>
      <c r="J226" s="116"/>
      <c r="K226" s="116"/>
      <c r="L226" s="116"/>
    </row>
    <row r="227" spans="1:12" ht="12" x14ac:dyDescent="0.2">
      <c r="A227" s="117" t="s">
        <v>571</v>
      </c>
      <c r="B227" s="117"/>
      <c r="C227" s="117"/>
      <c r="D227" s="117"/>
      <c r="E227" s="117"/>
      <c r="F227" s="117"/>
      <c r="G227" s="117"/>
      <c r="H227" s="117"/>
      <c r="I227" s="117"/>
      <c r="J227" s="117"/>
      <c r="K227" s="117"/>
      <c r="L227" s="117"/>
    </row>
    <row r="228" spans="1:12" ht="12" x14ac:dyDescent="0.2">
      <c r="A228" s="116" t="s">
        <v>572</v>
      </c>
      <c r="B228" s="116"/>
      <c r="C228" s="116"/>
      <c r="D228" s="116"/>
      <c r="E228" s="116"/>
      <c r="F228" s="116"/>
      <c r="G228" s="116"/>
      <c r="H228" s="116"/>
      <c r="I228" s="116"/>
      <c r="J228" s="116"/>
      <c r="K228" s="116"/>
      <c r="L228" s="116"/>
    </row>
    <row r="229" spans="1:12" ht="12" x14ac:dyDescent="0.2">
      <c r="A229" s="116" t="s">
        <v>549</v>
      </c>
      <c r="B229" s="116"/>
      <c r="C229" s="116"/>
      <c r="D229" s="116"/>
      <c r="E229" s="116"/>
      <c r="F229" s="116"/>
      <c r="G229" s="116"/>
      <c r="H229" s="116"/>
      <c r="I229" s="116"/>
      <c r="J229" s="116"/>
      <c r="K229" s="116"/>
      <c r="L229" s="116"/>
    </row>
    <row r="230" spans="1:12" ht="38.25" customHeight="1" x14ac:dyDescent="0.2">
      <c r="A230" s="116" t="s">
        <v>609</v>
      </c>
      <c r="B230" s="116"/>
      <c r="C230" s="116"/>
      <c r="D230" s="116"/>
      <c r="E230" s="116"/>
      <c r="F230" s="116"/>
      <c r="G230" s="116"/>
      <c r="H230" s="116"/>
      <c r="I230" s="116"/>
      <c r="J230" s="116"/>
      <c r="K230" s="116"/>
      <c r="L230" s="116"/>
    </row>
    <row r="231" spans="1:12" ht="12" x14ac:dyDescent="0.2">
      <c r="A231" s="116" t="s">
        <v>550</v>
      </c>
      <c r="B231" s="116"/>
      <c r="C231" s="116"/>
      <c r="D231" s="116"/>
      <c r="E231" s="116"/>
      <c r="F231" s="116"/>
      <c r="G231" s="116"/>
      <c r="H231" s="116"/>
      <c r="I231" s="116"/>
      <c r="J231" s="116"/>
      <c r="K231" s="116"/>
      <c r="L231" s="116"/>
    </row>
    <row r="232" spans="1:12" ht="71.25" customHeight="1" x14ac:dyDescent="0.2">
      <c r="A232" s="116" t="s">
        <v>551</v>
      </c>
      <c r="B232" s="116"/>
      <c r="C232" s="116"/>
      <c r="D232" s="116"/>
      <c r="E232" s="116"/>
      <c r="F232" s="116"/>
      <c r="G232" s="116"/>
      <c r="H232" s="116"/>
      <c r="I232" s="116"/>
      <c r="J232" s="116"/>
      <c r="K232" s="116"/>
      <c r="L232" s="116"/>
    </row>
    <row r="233" spans="1:12" ht="12" x14ac:dyDescent="0.2">
      <c r="A233" s="116" t="s">
        <v>552</v>
      </c>
      <c r="B233" s="116"/>
      <c r="C233" s="116"/>
      <c r="D233" s="116"/>
      <c r="E233" s="116"/>
      <c r="F233" s="116"/>
      <c r="G233" s="116"/>
      <c r="H233" s="116"/>
      <c r="I233" s="116"/>
      <c r="J233" s="116"/>
      <c r="K233" s="116"/>
      <c r="L233" s="116"/>
    </row>
    <row r="234" spans="1:12" ht="12" x14ac:dyDescent="0.2">
      <c r="A234" s="116" t="s">
        <v>607</v>
      </c>
      <c r="B234" s="116"/>
      <c r="C234" s="116"/>
      <c r="D234" s="116"/>
      <c r="E234" s="116"/>
      <c r="F234" s="116"/>
      <c r="G234" s="116"/>
      <c r="H234" s="116"/>
      <c r="I234" s="116"/>
      <c r="J234" s="116"/>
      <c r="K234" s="116"/>
      <c r="L234" s="116"/>
    </row>
    <row r="235" spans="1:12" ht="30" customHeight="1" x14ac:dyDescent="0.2">
      <c r="A235" s="117" t="s">
        <v>573</v>
      </c>
      <c r="B235" s="117"/>
      <c r="C235" s="117"/>
      <c r="D235" s="117"/>
      <c r="E235" s="117"/>
      <c r="F235" s="117"/>
      <c r="G235" s="117"/>
      <c r="H235" s="117"/>
      <c r="I235" s="117"/>
      <c r="J235" s="117"/>
      <c r="K235" s="117"/>
      <c r="L235" s="117"/>
    </row>
    <row r="236" spans="1:12" ht="12" x14ac:dyDescent="0.2">
      <c r="A236" s="116" t="s">
        <v>553</v>
      </c>
      <c r="B236" s="116"/>
      <c r="C236" s="116"/>
      <c r="D236" s="116"/>
      <c r="E236" s="116"/>
      <c r="F236" s="116"/>
      <c r="G236" s="116"/>
      <c r="H236" s="116"/>
      <c r="I236" s="116"/>
      <c r="J236" s="116"/>
      <c r="K236" s="116"/>
      <c r="L236" s="116"/>
    </row>
    <row r="237" spans="1:12" ht="63.6" customHeight="1" x14ac:dyDescent="0.2">
      <c r="A237" s="117" t="s">
        <v>554</v>
      </c>
      <c r="B237" s="117"/>
      <c r="C237" s="117"/>
      <c r="D237" s="117"/>
      <c r="E237" s="117"/>
      <c r="F237" s="117"/>
      <c r="G237" s="117"/>
      <c r="H237" s="117"/>
      <c r="I237" s="117"/>
      <c r="J237" s="117"/>
      <c r="K237" s="117"/>
      <c r="L237" s="117"/>
    </row>
    <row r="238" spans="1:12" ht="26.45" customHeight="1" x14ac:dyDescent="0.2">
      <c r="A238" s="116" t="s">
        <v>555</v>
      </c>
      <c r="B238" s="116"/>
      <c r="C238" s="116"/>
      <c r="D238" s="116"/>
      <c r="E238" s="116"/>
      <c r="F238" s="116"/>
      <c r="G238" s="116"/>
      <c r="H238" s="116"/>
      <c r="I238" s="116"/>
      <c r="J238" s="116"/>
      <c r="K238" s="116"/>
      <c r="L238" s="116"/>
    </row>
    <row r="239" spans="1:12" ht="12" x14ac:dyDescent="0.2">
      <c r="A239" s="116" t="s">
        <v>556</v>
      </c>
      <c r="B239" s="116"/>
      <c r="C239" s="116"/>
      <c r="D239" s="116"/>
      <c r="E239" s="116"/>
      <c r="F239" s="116"/>
      <c r="G239" s="116"/>
      <c r="H239" s="116"/>
      <c r="I239" s="116"/>
      <c r="J239" s="116"/>
      <c r="K239" s="116"/>
      <c r="L239" s="116"/>
    </row>
    <row r="240" spans="1:12" ht="24.6" customHeight="1" x14ac:dyDescent="0.2">
      <c r="A240" s="116" t="s">
        <v>557</v>
      </c>
      <c r="B240" s="116"/>
      <c r="C240" s="116"/>
      <c r="D240" s="116"/>
      <c r="E240" s="116"/>
      <c r="F240" s="116"/>
      <c r="G240" s="116"/>
      <c r="H240" s="116"/>
      <c r="I240" s="116"/>
      <c r="J240" s="116"/>
      <c r="K240" s="116"/>
      <c r="L240" s="116"/>
    </row>
    <row r="241" spans="1:12" ht="12" x14ac:dyDescent="0.2">
      <c r="A241" s="117" t="s">
        <v>574</v>
      </c>
      <c r="B241" s="117"/>
      <c r="C241" s="117"/>
      <c r="D241" s="117"/>
      <c r="E241" s="117"/>
      <c r="F241" s="117"/>
      <c r="G241" s="117"/>
      <c r="H241" s="117"/>
      <c r="I241" s="117"/>
      <c r="J241" s="117"/>
      <c r="K241" s="117"/>
      <c r="L241" s="117"/>
    </row>
    <row r="242" spans="1:12" ht="12" x14ac:dyDescent="0.2">
      <c r="A242" s="117" t="s">
        <v>558</v>
      </c>
      <c r="B242" s="117"/>
      <c r="C242" s="117"/>
      <c r="D242" s="117"/>
      <c r="E242" s="117"/>
      <c r="F242" s="117"/>
      <c r="G242" s="117"/>
      <c r="H242" s="117"/>
      <c r="I242" s="117"/>
      <c r="J242" s="117"/>
      <c r="K242" s="117"/>
      <c r="L242" s="117"/>
    </row>
    <row r="243" spans="1:12" ht="12" x14ac:dyDescent="0.2">
      <c r="A243" s="117" t="s">
        <v>581</v>
      </c>
      <c r="B243" s="117"/>
      <c r="C243" s="117"/>
      <c r="D243" s="117"/>
      <c r="E243" s="117"/>
      <c r="F243" s="117"/>
      <c r="G243" s="117"/>
      <c r="H243" s="117"/>
      <c r="I243" s="117"/>
      <c r="J243" s="117"/>
      <c r="K243" s="117"/>
      <c r="L243" s="117"/>
    </row>
    <row r="244" spans="1:12" ht="50.1" customHeight="1" x14ac:dyDescent="0.2">
      <c r="A244" s="117" t="s">
        <v>575</v>
      </c>
      <c r="B244" s="117"/>
      <c r="C244" s="117"/>
      <c r="D244" s="117"/>
      <c r="E244" s="117"/>
      <c r="F244" s="117"/>
      <c r="G244" s="117"/>
      <c r="H244" s="117"/>
      <c r="I244" s="117"/>
      <c r="J244" s="117"/>
      <c r="K244" s="117"/>
      <c r="L244" s="117"/>
    </row>
    <row r="245" spans="1:12" ht="12" x14ac:dyDescent="0.2">
      <c r="A245" s="116" t="s">
        <v>576</v>
      </c>
      <c r="B245" s="116"/>
      <c r="C245" s="116"/>
      <c r="D245" s="116"/>
      <c r="E245" s="116"/>
      <c r="F245" s="116"/>
      <c r="G245" s="116"/>
      <c r="H245" s="116"/>
      <c r="I245" s="116"/>
      <c r="J245" s="116"/>
      <c r="K245" s="116"/>
      <c r="L245" s="116"/>
    </row>
    <row r="246" spans="1:12" ht="28.5" customHeight="1" x14ac:dyDescent="0.2">
      <c r="A246" s="116" t="s">
        <v>577</v>
      </c>
      <c r="B246" s="116"/>
      <c r="C246" s="116"/>
      <c r="D246" s="116"/>
      <c r="E246" s="116"/>
      <c r="F246" s="116"/>
      <c r="G246" s="116"/>
      <c r="H246" s="116"/>
      <c r="I246" s="116"/>
      <c r="J246" s="116"/>
      <c r="K246" s="116"/>
      <c r="L246" s="116"/>
    </row>
    <row r="247" spans="1:12" ht="12" x14ac:dyDescent="0.2">
      <c r="A247" s="116" t="s">
        <v>606</v>
      </c>
      <c r="B247" s="116"/>
      <c r="C247" s="116"/>
      <c r="D247" s="116"/>
      <c r="E247" s="116"/>
      <c r="F247" s="116"/>
      <c r="G247" s="116"/>
      <c r="H247" s="116"/>
      <c r="I247" s="116"/>
      <c r="J247" s="116"/>
      <c r="K247" s="116"/>
      <c r="L247" s="116"/>
    </row>
    <row r="248" spans="1:12" ht="29.25" customHeight="1" x14ac:dyDescent="0.2">
      <c r="A248" s="116" t="s">
        <v>582</v>
      </c>
      <c r="B248" s="116"/>
      <c r="C248" s="116"/>
      <c r="D248" s="116"/>
      <c r="E248" s="116"/>
      <c r="F248" s="116"/>
      <c r="G248" s="116"/>
      <c r="H248" s="116"/>
      <c r="I248" s="116"/>
      <c r="J248" s="116"/>
      <c r="K248" s="116"/>
      <c r="L248" s="116"/>
    </row>
    <row r="249" spans="1:12" ht="47.1" customHeight="1" x14ac:dyDescent="0.2">
      <c r="A249" s="116" t="s">
        <v>578</v>
      </c>
      <c r="B249" s="116"/>
      <c r="C249" s="116"/>
      <c r="D249" s="116"/>
      <c r="E249" s="116"/>
      <c r="F249" s="116"/>
      <c r="G249" s="116"/>
      <c r="H249" s="116"/>
      <c r="I249" s="116"/>
      <c r="J249" s="116"/>
      <c r="K249" s="116"/>
      <c r="L249" s="116"/>
    </row>
    <row r="250" spans="1:12" ht="41.25" customHeight="1" x14ac:dyDescent="0.2">
      <c r="A250" s="116" t="s">
        <v>579</v>
      </c>
      <c r="B250" s="116"/>
      <c r="C250" s="116"/>
      <c r="D250" s="116"/>
      <c r="E250" s="116"/>
      <c r="F250" s="116"/>
      <c r="G250" s="116"/>
      <c r="H250" s="116"/>
      <c r="I250" s="116"/>
      <c r="J250" s="116"/>
      <c r="K250" s="116"/>
      <c r="L250" s="116"/>
    </row>
    <row r="251" spans="1:12" ht="39" customHeight="1" x14ac:dyDescent="0.2"/>
    <row r="252" spans="1:12" ht="51.95" customHeight="1" x14ac:dyDescent="0.2"/>
    <row r="253" spans="1:12" ht="25.5" customHeight="1" x14ac:dyDescent="0.2"/>
    <row r="256" spans="1:12" ht="35.450000000000003" customHeight="1" x14ac:dyDescent="0.2"/>
    <row r="258" ht="36.950000000000003" customHeight="1" x14ac:dyDescent="0.2"/>
    <row r="259" ht="27.6" customHeight="1" x14ac:dyDescent="0.2"/>
    <row r="260" ht="35.1" customHeight="1" x14ac:dyDescent="0.2"/>
    <row r="265" ht="48" customHeight="1" x14ac:dyDescent="0.2"/>
    <row r="266" ht="25.5" customHeight="1" x14ac:dyDescent="0.2"/>
    <row r="267" ht="48" customHeight="1" x14ac:dyDescent="0.2"/>
    <row r="268" ht="75.599999999999994" customHeight="1" x14ac:dyDescent="0.2"/>
    <row r="269" ht="26.1" customHeight="1" x14ac:dyDescent="0.2"/>
    <row r="270" ht="26.45" customHeight="1" x14ac:dyDescent="0.2"/>
  </sheetData>
  <dataConsolidate/>
  <mergeCells count="61">
    <mergeCell ref="A196:L196"/>
    <mergeCell ref="A192:L192"/>
    <mergeCell ref="A1:L1"/>
    <mergeCell ref="B7:D7"/>
    <mergeCell ref="A193:L193"/>
    <mergeCell ref="A194:L194"/>
    <mergeCell ref="A195:L195"/>
    <mergeCell ref="A202:L202"/>
    <mergeCell ref="A197:L197"/>
    <mergeCell ref="A198:L198"/>
    <mergeCell ref="A199:L199"/>
    <mergeCell ref="A200:L200"/>
    <mergeCell ref="A201:L201"/>
    <mergeCell ref="A203:L203"/>
    <mergeCell ref="A204:L204"/>
    <mergeCell ref="A205:L205"/>
    <mergeCell ref="A206:L206"/>
    <mergeCell ref="A207:L207"/>
    <mergeCell ref="A208:L208"/>
    <mergeCell ref="A209:L209"/>
    <mergeCell ref="A210:L210"/>
    <mergeCell ref="A211:L211"/>
    <mergeCell ref="A212:L212"/>
    <mergeCell ref="A213:L213"/>
    <mergeCell ref="A214:L214"/>
    <mergeCell ref="A215:L215"/>
    <mergeCell ref="A216:L216"/>
    <mergeCell ref="A217:L217"/>
    <mergeCell ref="A218:L218"/>
    <mergeCell ref="A219:L219"/>
    <mergeCell ref="A220:L220"/>
    <mergeCell ref="A221:L221"/>
    <mergeCell ref="A222:L222"/>
    <mergeCell ref="A223:L223"/>
    <mergeCell ref="A224:L224"/>
    <mergeCell ref="A225:L225"/>
    <mergeCell ref="A226:L226"/>
    <mergeCell ref="A227:L227"/>
    <mergeCell ref="A228:L228"/>
    <mergeCell ref="A229:L229"/>
    <mergeCell ref="A230:L230"/>
    <mergeCell ref="A231:L231"/>
    <mergeCell ref="A232:L232"/>
    <mergeCell ref="A233:L233"/>
    <mergeCell ref="A234:L234"/>
    <mergeCell ref="A235:L235"/>
    <mergeCell ref="A236:L236"/>
    <mergeCell ref="A237:L237"/>
    <mergeCell ref="A238:L238"/>
    <mergeCell ref="A239:L239"/>
    <mergeCell ref="A240:L240"/>
    <mergeCell ref="A241:L241"/>
    <mergeCell ref="A242:L242"/>
    <mergeCell ref="A248:L248"/>
    <mergeCell ref="A249:L249"/>
    <mergeCell ref="A250:L250"/>
    <mergeCell ref="A243:L243"/>
    <mergeCell ref="A244:L244"/>
    <mergeCell ref="A245:L245"/>
    <mergeCell ref="A246:L246"/>
    <mergeCell ref="A247:L247"/>
  </mergeCells>
  <conditionalFormatting sqref="A9:M187">
    <cfRule type="expression" dxfId="7" priority="5">
      <formula>MOD(ROW(),2)=0</formula>
    </cfRule>
  </conditionalFormatting>
  <conditionalFormatting sqref="G189 I189 K189">
    <cfRule type="cellIs" dxfId="6" priority="6" stopIfTrue="1" operator="equal">
      <formula>0</formula>
    </cfRule>
  </conditionalFormatting>
  <hyperlinks>
    <hyperlink ref="B3" r:id="rId1" xr:uid="{1A615102-79E3-4A18-862E-D2CF73444B6E}"/>
    <hyperlink ref="B4" r:id="rId2" xr:uid="{06A48A15-A8B3-4587-8D08-2A93ADD83C9A}"/>
  </hyperlinks>
  <printOptions gridLines="1"/>
  <pageMargins left="0.45" right="0.48" top="0.511811023622047" bottom="0.87" header="0.511811023622047" footer="0.34"/>
  <pageSetup paperSize="9" scale="45" fitToHeight="0" orientation="portrait" r:id="rId3"/>
  <headerFooter alignWithMargins="0">
    <oddFooter>&amp;L&amp;9PGDS/DOS&amp;C&amp;9&amp;P/&amp;N&amp;R&amp;9Printed: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C706-D0D4-4A6F-833C-CEBEAD028310}">
  <dimension ref="A1:L11"/>
  <sheetViews>
    <sheetView workbookViewId="0">
      <selection activeCell="B1" sqref="B1:L1"/>
    </sheetView>
  </sheetViews>
  <sheetFormatPr baseColWidth="10" defaultRowHeight="12.75" x14ac:dyDescent="0.2"/>
  <sheetData>
    <row r="1" spans="1:12" ht="76.5" x14ac:dyDescent="0.2">
      <c r="A1" s="22" t="s">
        <v>332</v>
      </c>
      <c r="B1" s="93" t="s">
        <v>612</v>
      </c>
      <c r="C1" s="93" t="s">
        <v>613</v>
      </c>
      <c r="D1" s="12" t="s">
        <v>7</v>
      </c>
      <c r="E1" s="13" t="s">
        <v>8</v>
      </c>
      <c r="F1" s="13" t="s">
        <v>9</v>
      </c>
      <c r="G1" s="74" t="s">
        <v>610</v>
      </c>
      <c r="H1" s="13" t="s">
        <v>10</v>
      </c>
      <c r="I1" s="74" t="s">
        <v>611</v>
      </c>
      <c r="J1" s="14" t="s">
        <v>11</v>
      </c>
      <c r="K1" s="13" t="s">
        <v>12</v>
      </c>
      <c r="L1" s="13" t="s">
        <v>13</v>
      </c>
    </row>
    <row r="2" spans="1:12" x14ac:dyDescent="0.2">
      <c r="A2" s="16" t="s">
        <v>333</v>
      </c>
      <c r="B2" s="78">
        <f>SUMIF(pais_acogida!$N$9:$N$187, $A2, pais_acogida!B$9:B$187)</f>
        <v>4830730</v>
      </c>
      <c r="C2" s="78">
        <f>SUMIF(pais_acogida!$N$9:$N$187, $A2, pais_acogida!C$9:C$187)</f>
        <v>0</v>
      </c>
      <c r="D2" s="16">
        <f>SUMIF(pais_acogida!$N$9:$N$187, $A2, pais_acogida!D$9:D$187)</f>
        <v>4830730</v>
      </c>
      <c r="E2" s="16">
        <f>SUMIF(pais_acogida!$N$9:$N$187, $A2, pais_acogida!E$9:E$187)</f>
        <v>382742</v>
      </c>
      <c r="F2" s="16">
        <f>SUMIF(pais_acogida!$N$9:$N$187, $A2, pais_acogida!F$9:F$187)</f>
        <v>0</v>
      </c>
      <c r="G2" s="78">
        <f>SUMIF(pais_acogida!$N$9:$N$187, $A2, pais_acogida!G$9:G$187)</f>
        <v>581131</v>
      </c>
      <c r="H2" s="16">
        <f>SUMIF(pais_acogida!$N$9:$N$187, $A2, pais_acogida!H$9:H$187)</f>
        <v>16719267</v>
      </c>
      <c r="I2" s="78">
        <f>SUMIF(pais_acogida!$N$9:$N$187, $A2, pais_acogida!I$9:I$187)</f>
        <v>534293</v>
      </c>
      <c r="J2" s="16">
        <f>SUMIF(pais_acogida!$N$9:$N$187, $A2, pais_acogida!J$9:J$187)</f>
        <v>97591</v>
      </c>
      <c r="K2" s="16">
        <f>SUMIF(pais_acogida!$N$9:$N$187, $A2, pais_acogida!K$9:K$187)</f>
        <v>90080</v>
      </c>
      <c r="L2" s="16">
        <f>SUMIF(pais_acogida!$N$9:$N$187, $A2, pais_acogida!L$9:L$187)</f>
        <v>23235834</v>
      </c>
    </row>
    <row r="3" spans="1:12" x14ac:dyDescent="0.2">
      <c r="A3" s="16" t="s">
        <v>334</v>
      </c>
      <c r="B3" s="78">
        <f>SUMIF(pais_acogida!$N$9:$N$187, $A3, pais_acogida!B$9:B$187)</f>
        <v>806729</v>
      </c>
      <c r="C3" s="78">
        <f>SUMIF(pais_acogida!$N$9:$N$187, $A3, pais_acogida!C$9:C$187)</f>
        <v>0</v>
      </c>
      <c r="D3" s="16">
        <f>SUMIF(pais_acogida!$N$9:$N$187, $A3, pais_acogida!D$9:D$187)</f>
        <v>806729</v>
      </c>
      <c r="E3" s="16">
        <f>SUMIF(pais_acogida!$N$9:$N$187, $A3, pais_acogida!E$9:E$187)</f>
        <v>186170</v>
      </c>
      <c r="F3" s="16">
        <f>SUMIF(pais_acogida!$N$9:$N$187, $A3, pais_acogida!F$9:F$187)</f>
        <v>0</v>
      </c>
      <c r="G3" s="78">
        <f>SUMIF(pais_acogida!$N$9:$N$187, $A3, pais_acogida!G$9:G$187)</f>
        <v>1808</v>
      </c>
      <c r="H3" s="16">
        <f>SUMIF(pais_acogida!$N$9:$N$187, $A3, pais_acogida!H$9:H$187)</f>
        <v>6834554</v>
      </c>
      <c r="I3" s="78">
        <f>SUMIF(pais_acogida!$N$9:$N$187, $A3, pais_acogida!I$9:I$187)</f>
        <v>2114080</v>
      </c>
      <c r="J3" s="16">
        <f>SUMIF(pais_acogida!$N$9:$N$187, $A3, pais_acogida!J$9:J$187)</f>
        <v>0</v>
      </c>
      <c r="K3" s="16">
        <f>SUMIF(pais_acogida!$N$9:$N$187, $A3, pais_acogida!K$9:K$187)</f>
        <v>32871</v>
      </c>
      <c r="L3" s="16">
        <f>SUMIF(pais_acogida!$N$9:$N$187, $A3, pais_acogida!L$9:L$187)</f>
        <v>9976212</v>
      </c>
    </row>
    <row r="4" spans="1:12" x14ac:dyDescent="0.2">
      <c r="A4" s="16" t="s">
        <v>335</v>
      </c>
      <c r="B4" s="78">
        <f>SUMIF(pais_acogida!$N$9:$N$187, $A4, pais_acogida!B$9:B$187)</f>
        <v>2122973</v>
      </c>
      <c r="C4" s="78">
        <f>SUMIF(pais_acogida!$N$9:$N$187, $A4, pais_acogida!C$9:C$187)</f>
        <v>0</v>
      </c>
      <c r="D4" s="16">
        <f>SUMIF(pais_acogida!$N$9:$N$187, $A4, pais_acogida!D$9:D$187)</f>
        <v>2122973</v>
      </c>
      <c r="E4" s="16">
        <f>SUMIF(pais_acogida!$N$9:$N$187, $A4, pais_acogida!E$9:E$187)</f>
        <v>177075</v>
      </c>
      <c r="F4" s="16">
        <f>SUMIF(pais_acogida!$N$9:$N$187, $A4, pais_acogida!F$9:F$187)</f>
        <v>0</v>
      </c>
      <c r="G4" s="78">
        <f>SUMIF(pais_acogida!$N$9:$N$187, $A4, pais_acogida!G$9:G$187)</f>
        <v>48855</v>
      </c>
      <c r="H4" s="16">
        <f>SUMIF(pais_acogida!$N$9:$N$187, $A4, pais_acogida!H$9:H$187)</f>
        <v>7887599</v>
      </c>
      <c r="I4" s="78">
        <f>SUMIF(pais_acogida!$N$9:$N$187, $A4, pais_acogida!I$9:I$187)</f>
        <v>455882</v>
      </c>
      <c r="J4" s="16">
        <f>SUMIF(pais_acogida!$N$9:$N$187, $A4, pais_acogida!J$9:J$187)</f>
        <v>931093</v>
      </c>
      <c r="K4" s="16">
        <f>SUMIF(pais_acogida!$N$9:$N$187, $A4, pais_acogida!K$9:K$187)</f>
        <v>160325</v>
      </c>
      <c r="L4" s="16">
        <f>SUMIF(pais_acogida!$N$9:$N$187, $A4, pais_acogida!L$9:L$187)</f>
        <v>11783802</v>
      </c>
    </row>
    <row r="5" spans="1:12" x14ac:dyDescent="0.2">
      <c r="A5" s="16" t="s">
        <v>336</v>
      </c>
      <c r="B5" s="78">
        <f t="shared" ref="B5:L5" si="0">SUM(B2:B4)</f>
        <v>7760432</v>
      </c>
      <c r="C5" s="78">
        <f t="shared" si="0"/>
        <v>0</v>
      </c>
      <c r="D5" s="16">
        <f t="shared" si="0"/>
        <v>7760432</v>
      </c>
      <c r="E5" s="16">
        <f t="shared" si="0"/>
        <v>745987</v>
      </c>
      <c r="F5" s="16">
        <f t="shared" si="0"/>
        <v>0</v>
      </c>
      <c r="G5" s="78">
        <f t="shared" si="0"/>
        <v>631794</v>
      </c>
      <c r="H5" s="16">
        <f t="shared" si="0"/>
        <v>31441420</v>
      </c>
      <c r="I5" s="78">
        <f t="shared" si="0"/>
        <v>3104255</v>
      </c>
      <c r="J5" s="16">
        <f t="shared" si="0"/>
        <v>1028684</v>
      </c>
      <c r="K5" s="16">
        <f t="shared" si="0"/>
        <v>283276</v>
      </c>
      <c r="L5" s="16">
        <f t="shared" si="0"/>
        <v>44995848</v>
      </c>
    </row>
    <row r="6" spans="1:12" x14ac:dyDescent="0.2">
      <c r="A6" s="16" t="s">
        <v>337</v>
      </c>
      <c r="B6" s="78">
        <f>SUMIF(pais_acogida!$N$9:$N$187, $A6, pais_acogida!B$9:B$187)</f>
        <v>889711</v>
      </c>
      <c r="C6" s="78">
        <f>SUMIF(pais_acogida!$N$9:$N$187, $A6, pais_acogida!C$9:C$187)</f>
        <v>196855</v>
      </c>
      <c r="D6" s="16">
        <f>SUMIF(pais_acogida!$N$9:$N$187, $A6, pais_acogida!D$9:D$187)</f>
        <v>1086566</v>
      </c>
      <c r="E6" s="16">
        <f>SUMIF(pais_acogida!$N$9:$N$187, $A6, pais_acogida!E$9:E$187)</f>
        <v>3954551</v>
      </c>
      <c r="F6" s="16">
        <f>SUMIF(pais_acogida!$N$9:$N$187, $A6, pais_acogida!F$9:F$187)</f>
        <v>5755363</v>
      </c>
      <c r="G6" s="78">
        <f>SUMIF(pais_acogida!$N$9:$N$187, $A6, pais_acogida!G$9:G$187)</f>
        <v>5</v>
      </c>
      <c r="H6" s="16">
        <f>SUMIF(pais_acogida!$N$9:$N$187, $A6, pais_acogida!H$9:H$187)</f>
        <v>7813275</v>
      </c>
      <c r="I6" s="78">
        <f>SUMIF(pais_acogida!$N$9:$N$187, $A6, pais_acogida!I$9:I$187)</f>
        <v>0</v>
      </c>
      <c r="J6" s="16">
        <f>SUMIF(pais_acogida!$N$9:$N$187, $A6, pais_acogida!J$9:J$187)</f>
        <v>7339</v>
      </c>
      <c r="K6" s="16">
        <f>SUMIF(pais_acogida!$N$9:$N$187, $A6, pais_acogida!K$9:K$187)</f>
        <v>4395196</v>
      </c>
      <c r="L6" s="16">
        <f>SUMIF(pais_acogida!$N$9:$N$187, $A6, pais_acogida!L$9:L$187)</f>
        <v>23011456</v>
      </c>
    </row>
    <row r="7" spans="1:12" x14ac:dyDescent="0.2">
      <c r="A7" s="16" t="s">
        <v>339</v>
      </c>
      <c r="B7" s="78">
        <f>SUMIF(pais_acogida!$N$9:$N$187, $A7, pais_acogida!B$9:B$187)</f>
        <v>3617235</v>
      </c>
      <c r="C7" s="78">
        <f>SUMIF(pais_acogida!$N$9:$N$187, $A7, pais_acogida!C$9:C$187)</f>
        <v>3815220</v>
      </c>
      <c r="D7" s="16">
        <f>SUMIF(pais_acogida!$N$9:$N$187, $A7, pais_acogida!D$9:D$187)</f>
        <v>7432455</v>
      </c>
      <c r="E7" s="16">
        <f>SUMIF(pais_acogida!$N$9:$N$187, $A7, pais_acogida!E$9:E$187)</f>
        <v>271573</v>
      </c>
      <c r="F7" s="16">
        <f>SUMIF(pais_acogida!$N$9:$N$187, $A7, pais_acogida!F$9:F$187)</f>
        <v>0</v>
      </c>
      <c r="G7" s="78">
        <f>SUMIF(pais_acogida!$N$9:$N$187, $A7, pais_acogida!G$9:G$187)</f>
        <v>57951</v>
      </c>
      <c r="H7" s="16">
        <f>SUMIF(pais_acogida!$N$9:$N$187, $A7, pais_acogida!H$9:H$187)</f>
        <v>6039085</v>
      </c>
      <c r="I7" s="78">
        <f>SUMIF(pais_acogida!$N$9:$N$187, $A7, pais_acogida!I$9:I$187)</f>
        <v>449303</v>
      </c>
      <c r="J7" s="16">
        <f>SUMIF(pais_acogida!$N$9:$N$187, $A7, pais_acogida!J$9:J$187)</f>
        <v>2504784</v>
      </c>
      <c r="K7" s="16">
        <f>SUMIF(pais_acogida!$N$9:$N$187, $A7, pais_acogida!K$9:K$187)</f>
        <v>220478</v>
      </c>
      <c r="L7" s="16">
        <f>SUMIF(pais_acogida!$N$9:$N$187, $A7, pais_acogida!L$9:L$187)</f>
        <v>15708655</v>
      </c>
    </row>
    <row r="8" spans="1:12" x14ac:dyDescent="0.2">
      <c r="A8" s="16" t="s">
        <v>340</v>
      </c>
      <c r="B8" s="78">
        <f>SUMIF(pais_acogida!$N$9:$N$187, $A8, pais_acogida!B$9:B$187)</f>
        <v>11201166</v>
      </c>
      <c r="C8" s="78">
        <f>SUMIF(pais_acogida!$N$9:$N$187, $A8, pais_acogida!C$9:C$187)</f>
        <v>1859969</v>
      </c>
      <c r="D8" s="16">
        <f>SUMIF(pais_acogida!$N$9:$N$187, $A8, pais_acogida!D$9:D$187)</f>
        <v>13061135</v>
      </c>
      <c r="E8" s="16">
        <f>SUMIF(pais_acogida!$N$9:$N$187, $A8, pais_acogida!E$9:E$187)</f>
        <v>1449236</v>
      </c>
      <c r="F8" s="16">
        <f>SUMIF(pais_acogida!$N$9:$N$187, $A8, pais_acogida!F$9:F$187)</f>
        <v>0</v>
      </c>
      <c r="G8" s="78">
        <f>SUMIF(pais_acogida!$N$9:$N$187, $A8, pais_acogida!G$9:G$187)</f>
        <v>324590</v>
      </c>
      <c r="H8" s="16">
        <f>SUMIF(pais_acogida!$N$9:$N$187, $A8, pais_acogida!H$9:H$187)</f>
        <v>4943593</v>
      </c>
      <c r="I8" s="78">
        <f>SUMIF(pais_acogida!$N$9:$N$187, $A8, pais_acogida!I$9:I$187)</f>
        <v>1318794</v>
      </c>
      <c r="J8" s="16">
        <f>SUMIF(pais_acogida!$N$9:$N$187, $A8, pais_acogida!J$9:J$187)</f>
        <v>493835</v>
      </c>
      <c r="K8" s="16">
        <f>SUMIF(pais_acogida!$N$9:$N$187, $A8, pais_acogida!K$9:K$187)</f>
        <v>972075</v>
      </c>
      <c r="L8" s="16">
        <f>SUMIF(pais_acogida!$N$9:$N$187, $A8, pais_acogida!L$9:L$187)</f>
        <v>22503480</v>
      </c>
    </row>
    <row r="9" spans="1:12" x14ac:dyDescent="0.2">
      <c r="A9" s="16" t="s">
        <v>341</v>
      </c>
      <c r="B9" s="78">
        <f>SUMIF(pais_acogida!$N$9:$N$187, $A9, pais_acogida!B$9:B$187)</f>
        <v>2296820</v>
      </c>
      <c r="C9" s="78">
        <f>SUMIF(pais_acogida!$N$9:$N$187, $A9, pais_acogida!C$9:C$187)</f>
        <v>0</v>
      </c>
      <c r="D9" s="16">
        <f>SUMIF(pais_acogida!$N$9:$N$187, $A9, pais_acogida!D$9:D$187)</f>
        <v>2296820</v>
      </c>
      <c r="E9" s="16">
        <f>SUMIF(pais_acogida!$N$9:$N$187, $A9, pais_acogida!E$9:E$187)</f>
        <v>437152</v>
      </c>
      <c r="F9" s="16">
        <f>SUMIF(pais_acogida!$N$9:$N$187, $A9, pais_acogida!F$9:F$187)</f>
        <v>0</v>
      </c>
      <c r="G9" s="78">
        <f>SUMIF(pais_acogida!$N$9:$N$187, $A9, pais_acogida!G$9:G$187)</f>
        <v>37728</v>
      </c>
      <c r="H9" s="16">
        <f>SUMIF(pais_acogida!$N$9:$N$187, $A9, pais_acogida!H$9:H$187)</f>
        <v>13013994</v>
      </c>
      <c r="I9" s="78">
        <f>SUMIF(pais_acogida!$N$9:$N$187, $A9, pais_acogida!I$9:I$187)</f>
        <v>219712</v>
      </c>
      <c r="J9" s="16">
        <f>SUMIF(pais_acogida!$N$9:$N$187, $A9, pais_acogida!J$9:J$187)</f>
        <v>323546</v>
      </c>
      <c r="K9" s="16">
        <f>SUMIF(pais_acogida!$N$9:$N$187, $A9, pais_acogida!K$9:K$187)</f>
        <v>74525</v>
      </c>
      <c r="L9" s="16">
        <f>SUMIF(pais_acogida!$N$9:$N$187, $A9, pais_acogida!L$9:L$187)</f>
        <v>16403404</v>
      </c>
    </row>
    <row r="10" spans="1:12" x14ac:dyDescent="0.2">
      <c r="A10" s="16" t="s">
        <v>445</v>
      </c>
      <c r="B10" s="78">
        <f>pais_acogida!B188-SUM(B5:B9)</f>
        <v>0</v>
      </c>
      <c r="C10" s="78">
        <f>pais_acogida!C188-SUM(C5:C9)</f>
        <v>0</v>
      </c>
      <c r="D10" s="16">
        <f>pais_acogida!D188-SUM(D5:D9)</f>
        <v>0</v>
      </c>
      <c r="E10" s="16">
        <f>pais_acogida!E188-SUM(E5:E9)</f>
        <v>0</v>
      </c>
      <c r="F10" s="16">
        <f>pais_acogida!F188-SUM(F5:F9)</f>
        <v>0</v>
      </c>
      <c r="G10" s="78">
        <f>pais_acogida!G188-SUM(G5:G9)</f>
        <v>6</v>
      </c>
      <c r="H10" s="16">
        <f>pais_acogida!H188-SUM(H5:H9)</f>
        <v>0</v>
      </c>
      <c r="I10" s="78">
        <f>pais_acogida!I188-SUM(I5:I9)</f>
        <v>0</v>
      </c>
      <c r="J10" s="16">
        <f>pais_acogida!J188-SUM(J5:J9)</f>
        <v>0</v>
      </c>
      <c r="K10" s="16">
        <f>pais_acogida!K188-SUM(K5:K9)</f>
        <v>0</v>
      </c>
      <c r="L10" s="16">
        <f>pais_acogida!L188-SUM(L5:L9)</f>
        <v>6</v>
      </c>
    </row>
    <row r="11" spans="1:12" x14ac:dyDescent="0.2">
      <c r="A11" s="17" t="s">
        <v>331</v>
      </c>
      <c r="B11" s="79">
        <f>SUM(B2:B9)-B5</f>
        <v>25765364</v>
      </c>
      <c r="C11" s="79">
        <f>SUM(C2:C9)-C5</f>
        <v>5872044</v>
      </c>
      <c r="D11" s="19">
        <f>SUM(D2:D9)-D5</f>
        <v>31637408</v>
      </c>
      <c r="E11" s="19">
        <f>SUM(E2:E9)-E5</f>
        <v>6858499</v>
      </c>
      <c r="F11" s="19">
        <f>SUM(F2:F9)-F5</f>
        <v>5755363</v>
      </c>
      <c r="G11" s="79">
        <f>SUM(G2:G10)-G5</f>
        <v>1052074</v>
      </c>
      <c r="H11" s="19">
        <f>SUM(H2:H9)-H5</f>
        <v>63251367</v>
      </c>
      <c r="I11" s="79">
        <f>SUM(I2:I9)-I5</f>
        <v>5092064</v>
      </c>
      <c r="J11" s="19">
        <f>SUM(J2:J9)-J5</f>
        <v>4358188</v>
      </c>
      <c r="K11" s="19">
        <f>SUM(K2:K9)-K5</f>
        <v>5945550</v>
      </c>
      <c r="L11" s="19">
        <f>SUM(L2:L10)-L5</f>
        <v>122622849</v>
      </c>
    </row>
  </sheetData>
  <conditionalFormatting sqref="A2:L10">
    <cfRule type="expression" dxfId="5"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A560-4794-4F07-B3A0-E53895975361}">
  <dimension ref="A1:L9"/>
  <sheetViews>
    <sheetView workbookViewId="0">
      <selection activeCell="B1" sqref="B1:L1"/>
    </sheetView>
  </sheetViews>
  <sheetFormatPr baseColWidth="10" defaultRowHeight="12.75" x14ac:dyDescent="0.2"/>
  <sheetData>
    <row r="1" spans="1:12" ht="76.5" x14ac:dyDescent="0.2">
      <c r="A1" s="22" t="s">
        <v>342</v>
      </c>
      <c r="B1" s="93" t="s">
        <v>612</v>
      </c>
      <c r="C1" s="93" t="s">
        <v>613</v>
      </c>
      <c r="D1" s="12" t="s">
        <v>7</v>
      </c>
      <c r="E1" s="13" t="s">
        <v>8</v>
      </c>
      <c r="F1" s="13" t="s">
        <v>9</v>
      </c>
      <c r="G1" s="74" t="s">
        <v>610</v>
      </c>
      <c r="H1" s="13" t="s">
        <v>10</v>
      </c>
      <c r="I1" s="74" t="s">
        <v>611</v>
      </c>
      <c r="J1" s="14" t="s">
        <v>11</v>
      </c>
      <c r="K1" s="13" t="s">
        <v>12</v>
      </c>
      <c r="L1" s="13" t="s">
        <v>13</v>
      </c>
    </row>
    <row r="2" spans="1:12" x14ac:dyDescent="0.2">
      <c r="A2" s="16" t="s">
        <v>343</v>
      </c>
      <c r="B2" s="78">
        <f>SUMIF(pais_acogida!$O$9:$O$187, $A2, pais_acogida!B$9:B$187)</f>
        <v>8226204</v>
      </c>
      <c r="C2" s="78">
        <f>SUMIF(pais_acogida!$O$9:$O$187, $A2, pais_acogida!C$9:C$187)</f>
        <v>0</v>
      </c>
      <c r="D2" s="16">
        <f>SUMIF(pais_acogida!$O$9:$O$187, $A2, pais_acogida!D$9:D$187)</f>
        <v>8226204</v>
      </c>
      <c r="E2" s="16">
        <f>SUMIF(pais_acogida!$O$9:$O$187, $A2, pais_acogida!E$9:E$187)</f>
        <v>1065029</v>
      </c>
      <c r="F2" s="16">
        <f>SUMIF(pais_acogida!$O$9:$O$187, $A2, pais_acogida!F$9:F$187)</f>
        <v>0</v>
      </c>
      <c r="G2" s="78">
        <f>SUMIF(pais_acogida!$O$9:$O$187, $A2, pais_acogida!G$9:G$187)</f>
        <v>631805</v>
      </c>
      <c r="H2" s="16">
        <f>SUMIF(pais_acogida!$O$9:$O$187, $A2, pais_acogida!H$9:H$187)</f>
        <v>31567222</v>
      </c>
      <c r="I2" s="78">
        <f>SUMIF(pais_acogida!$O$9:$O$187, $A2, pais_acogida!I$9:I$187)</f>
        <v>3141354</v>
      </c>
      <c r="J2" s="16">
        <f>SUMIF(pais_acogida!$O$9:$O$187, $A2, pais_acogida!J$9:J$187)</f>
        <v>1028694</v>
      </c>
      <c r="K2" s="16">
        <f>SUMIF(pais_acogida!$O$9:$O$187, $A2, pais_acogida!K$9:K$187)</f>
        <v>283299</v>
      </c>
      <c r="L2" s="16">
        <f>SUMIF(pais_acogida!$O$9:$O$187, $A2, pais_acogida!L$9:L$187)</f>
        <v>45943602</v>
      </c>
    </row>
    <row r="3" spans="1:12" x14ac:dyDescent="0.2">
      <c r="A3" s="16" t="s">
        <v>344</v>
      </c>
      <c r="B3" s="78">
        <f>SUMIF(pais_acogida!$O$9:$O$187, $A3, pais_acogida!B$9:B$187)</f>
        <v>8845372</v>
      </c>
      <c r="C3" s="78">
        <f>SUMIF(pais_acogida!$O$9:$O$187, $A3, pais_acogida!C$9:C$187)</f>
        <v>3843295</v>
      </c>
      <c r="D3" s="16">
        <f>SUMIF(pais_acogida!$O$9:$O$187, $A3, pais_acogida!D$9:D$187)</f>
        <v>12688667</v>
      </c>
      <c r="E3" s="16">
        <f>SUMIF(pais_acogida!$O$9:$O$187, $A3, pais_acogida!E$9:E$187)</f>
        <v>557470</v>
      </c>
      <c r="F3" s="16">
        <f>SUMIF(pais_acogida!$O$9:$O$187, $A3, pais_acogida!F$9:F$187)</f>
        <v>0</v>
      </c>
      <c r="G3" s="78">
        <f>SUMIF(pais_acogida!$O$9:$O$187, $A3, pais_acogida!G$9:G$187)</f>
        <v>95668</v>
      </c>
      <c r="H3" s="16">
        <f>SUMIF(pais_acogida!$O$9:$O$187, $A3, pais_acogida!H$9:H$187)</f>
        <v>19784857</v>
      </c>
      <c r="I3" s="78">
        <f>SUMIF(pais_acogida!$O$9:$O$187, $A3, pais_acogida!I$9:I$187)</f>
        <v>631916</v>
      </c>
      <c r="J3" s="16">
        <f>SUMIF(pais_acogida!$O$9:$O$187, $A3, pais_acogida!J$9:J$187)</f>
        <v>2822282</v>
      </c>
      <c r="K3" s="16">
        <f>SUMIF(pais_acogida!$O$9:$O$187, $A3, pais_acogida!K$9:K$187)</f>
        <v>291730</v>
      </c>
      <c r="L3" s="16">
        <f>SUMIF(pais_acogida!$O$9:$O$187, $A3, pais_acogida!L$9:L$187)</f>
        <v>35611325</v>
      </c>
    </row>
    <row r="4" spans="1:12" x14ac:dyDescent="0.2">
      <c r="A4" s="16" t="s">
        <v>340</v>
      </c>
      <c r="B4" s="78">
        <f>SUMIF(pais_acogida!$O$9:$O$187, $A4, pais_acogida!B$9:B$187)</f>
        <v>7762200</v>
      </c>
      <c r="C4" s="78">
        <f>SUMIF(pais_acogida!$O$9:$O$187, $A4, pais_acogida!C$9:C$187)</f>
        <v>1826894</v>
      </c>
      <c r="D4" s="16">
        <f>SUMIF(pais_acogida!$O$9:$O$187, $A4, pais_acogida!D$9:D$187)</f>
        <v>9589094</v>
      </c>
      <c r="E4" s="16">
        <f>SUMIF(pais_acogida!$O$9:$O$187, $A4, pais_acogida!E$9:E$187)</f>
        <v>1193669</v>
      </c>
      <c r="F4" s="16">
        <f>SUMIF(pais_acogida!$O$9:$O$187, $A4, pais_acogida!F$9:F$187)</f>
        <v>0</v>
      </c>
      <c r="G4" s="78">
        <f>SUMIF(pais_acogida!$O$9:$O$187, $A4, pais_acogida!G$9:G$187)</f>
        <v>324590</v>
      </c>
      <c r="H4" s="16">
        <f>SUMIF(pais_acogida!$O$9:$O$187, $A4, pais_acogida!H$9:H$187)</f>
        <v>3990013</v>
      </c>
      <c r="I4" s="78">
        <f>SUMIF(pais_acogida!$O$9:$O$187, $A4, pais_acogida!I$9:I$187)</f>
        <v>1318794</v>
      </c>
      <c r="J4" s="16">
        <f>SUMIF(pais_acogida!$O$9:$O$187, $A4, pais_acogida!J$9:J$187)</f>
        <v>491771</v>
      </c>
      <c r="K4" s="16">
        <f>SUMIF(pais_acogida!$O$9:$O$187, $A4, pais_acogida!K$9:K$187)</f>
        <v>972075</v>
      </c>
      <c r="L4" s="16">
        <f>SUMIF(pais_acogida!$O$9:$O$187, $A4, pais_acogida!L$9:L$187)</f>
        <v>17820314</v>
      </c>
    </row>
    <row r="5" spans="1:12" x14ac:dyDescent="0.2">
      <c r="A5" s="16" t="s">
        <v>345</v>
      </c>
      <c r="B5" s="78">
        <f>SUMIF(pais_acogida!$O$9:$O$187, $A5, pais_acogida!B$9:B$187)</f>
        <v>381722</v>
      </c>
      <c r="C5" s="78">
        <f>SUMIF(pais_acogida!$O$9:$O$187, $A5, pais_acogida!C$9:C$187)</f>
        <v>122075</v>
      </c>
      <c r="D5" s="16">
        <f>SUMIF(pais_acogida!$O$9:$O$187, $A5, pais_acogida!D$9:D$187)</f>
        <v>503797</v>
      </c>
      <c r="E5" s="16">
        <f>SUMIF(pais_acogida!$O$9:$O$187, $A5, pais_acogida!E$9:E$187)</f>
        <v>1119390</v>
      </c>
      <c r="F5" s="16">
        <f>SUMIF(pais_acogida!$O$9:$O$187, $A5, pais_acogida!F$9:F$187)</f>
        <v>5572863</v>
      </c>
      <c r="G5" s="78">
        <f>SUMIF(pais_acogida!$O$9:$O$187, $A5, pais_acogida!G$9:G$187)</f>
        <v>5</v>
      </c>
      <c r="H5" s="16">
        <f>SUMIF(pais_acogida!$O$9:$O$187, $A5, pais_acogida!H$9:H$187)</f>
        <v>7499374</v>
      </c>
      <c r="I5" s="78">
        <f>SUMIF(pais_acogida!$O$9:$O$187, $A5, pais_acogida!I$9:I$187)</f>
        <v>0</v>
      </c>
      <c r="J5" s="16">
        <f>SUMIF(pais_acogida!$O$9:$O$187, $A5, pais_acogida!J$9:J$187)</f>
        <v>2117</v>
      </c>
      <c r="K5" s="16">
        <f>SUMIF(pais_acogida!$O$9:$O$187, $A5, pais_acogida!K$9:K$187)</f>
        <v>4393191</v>
      </c>
      <c r="L5" s="16">
        <f>SUMIF(pais_acogida!$O$9:$O$187, $A5, pais_acogida!L$9:L$187)</f>
        <v>19090685</v>
      </c>
    </row>
    <row r="6" spans="1:12" x14ac:dyDescent="0.2">
      <c r="A6" s="16" t="s">
        <v>346</v>
      </c>
      <c r="B6" s="78">
        <f>SUMIF(pais_acogida!$O$9:$O$187, $A6, pais_acogida!B$9:B$187)</f>
        <v>507989</v>
      </c>
      <c r="C6" s="78">
        <f>SUMIF(pais_acogida!$O$9:$O$187, $A6, pais_acogida!C$9:C$187)</f>
        <v>74780</v>
      </c>
      <c r="D6" s="16">
        <f>SUMIF(pais_acogida!$O$9:$O$187, $A6, pais_acogida!D$9:D$187)</f>
        <v>582769</v>
      </c>
      <c r="E6" s="16">
        <f>SUMIF(pais_acogida!$O$9:$O$187, $A6, pais_acogida!E$9:E$187)</f>
        <v>2835161</v>
      </c>
      <c r="F6" s="16">
        <f>SUMIF(pais_acogida!$O$9:$O$187, $A6, pais_acogida!F$9:F$187)</f>
        <v>182500</v>
      </c>
      <c r="G6" s="78">
        <f>SUMIF(pais_acogida!$O$9:$O$187, $A6, pais_acogida!G$9:G$187)</f>
        <v>0</v>
      </c>
      <c r="H6" s="16">
        <f>SUMIF(pais_acogida!$O$9:$O$187, $A6, pais_acogida!H$9:H$187)</f>
        <v>313901</v>
      </c>
      <c r="I6" s="78">
        <f>SUMIF(pais_acogida!$O$9:$O$187, $A6, pais_acogida!I$9:I$187)</f>
        <v>0</v>
      </c>
      <c r="J6" s="16">
        <f>SUMIF(pais_acogida!$O$9:$O$187, $A6, pais_acogida!J$9:J$187)</f>
        <v>5222</v>
      </c>
      <c r="K6" s="16">
        <f>SUMIF(pais_acogida!$O$9:$O$187, $A6, pais_acogida!K$9:K$187)</f>
        <v>2005</v>
      </c>
      <c r="L6" s="16">
        <f>SUMIF(pais_acogida!$O$9:$O$187, $A6, pais_acogida!L$9:L$187)</f>
        <v>3920771</v>
      </c>
    </row>
    <row r="7" spans="1:12" x14ac:dyDescent="0.2">
      <c r="A7" s="16" t="s">
        <v>347</v>
      </c>
      <c r="B7" s="78">
        <f>SUMIF(pais_acogida!$O$9:$O$187, $A7, pais_acogida!B$9:B$187)</f>
        <v>41877</v>
      </c>
      <c r="C7" s="78">
        <f>SUMIF(pais_acogida!$O$9:$O$187, $A7, pais_acogida!C$9:C$187)</f>
        <v>5000</v>
      </c>
      <c r="D7" s="16">
        <f>SUMIF(pais_acogida!$O$9:$O$187, $A7, pais_acogida!D$9:D$187)</f>
        <v>46877</v>
      </c>
      <c r="E7" s="16">
        <f>SUMIF(pais_acogida!$O$9:$O$187, $A7, pais_acogida!E$9:E$187)</f>
        <v>87780</v>
      </c>
      <c r="F7" s="16">
        <f>SUMIF(pais_acogida!$O$9:$O$187, $A7, pais_acogida!F$9:F$187)</f>
        <v>0</v>
      </c>
      <c r="G7" s="78">
        <f>SUMIF(pais_acogida!$O$9:$O$187, $A7, pais_acogida!G$9:G$187)</f>
        <v>0</v>
      </c>
      <c r="H7" s="16">
        <f>SUMIF(pais_acogida!$O$9:$O$187, $A7, pais_acogida!H$9:H$187)</f>
        <v>96000</v>
      </c>
      <c r="I7" s="78">
        <f>SUMIF(pais_acogida!$O$9:$O$187, $A7, pais_acogida!I$9:I$187)</f>
        <v>0</v>
      </c>
      <c r="J7" s="16">
        <f>SUMIF(pais_acogida!$O$9:$O$187, $A7, pais_acogida!J$9:J$187)</f>
        <v>8102</v>
      </c>
      <c r="K7" s="16">
        <f>SUMIF(pais_acogida!$O$9:$O$187, $A7, pais_acogida!K$9:K$187)</f>
        <v>3250</v>
      </c>
      <c r="L7" s="16">
        <f>SUMIF(pais_acogida!$O$9:$O$187, $A7, pais_acogida!L$9:L$187)</f>
        <v>236146</v>
      </c>
    </row>
    <row r="8" spans="1:12" x14ac:dyDescent="0.2">
      <c r="A8" s="16" t="s">
        <v>445</v>
      </c>
      <c r="B8" s="78">
        <f>pais_acogida!B188-SUM(B2:B7)</f>
        <v>0</v>
      </c>
      <c r="C8" s="78">
        <f>pais_acogida!C188-SUM(C2:C7)</f>
        <v>0</v>
      </c>
      <c r="D8" s="16">
        <f>pais_acogida!D188-SUM(D2:D7)</f>
        <v>0</v>
      </c>
      <c r="E8" s="16">
        <f>pais_acogida!E188-SUM(E2:E7)</f>
        <v>0</v>
      </c>
      <c r="F8" s="16">
        <f>pais_acogida!F188-SUM(F2:F7)</f>
        <v>0</v>
      </c>
      <c r="G8" s="78">
        <f>pais_acogida!G188-SUM(G2:G7)</f>
        <v>6</v>
      </c>
      <c r="H8" s="16">
        <f>pais_acogida!H188-SUM(H2:H7)</f>
        <v>0</v>
      </c>
      <c r="I8" s="78">
        <f>pais_acogida!I188-SUM(I2:I7)</f>
        <v>0</v>
      </c>
      <c r="J8" s="16">
        <f>pais_acogida!J188-SUM(J2:J7)</f>
        <v>0</v>
      </c>
      <c r="K8" s="16">
        <f>pais_acogida!K188-SUM(K2:K7)</f>
        <v>0</v>
      </c>
      <c r="L8" s="16">
        <f>pais_acogida!L188-SUM(L2:L7)</f>
        <v>6</v>
      </c>
    </row>
    <row r="9" spans="1:12" x14ac:dyDescent="0.2">
      <c r="A9" s="17" t="s">
        <v>331</v>
      </c>
      <c r="B9" s="79">
        <f>SUM(B2:B7)</f>
        <v>25765364</v>
      </c>
      <c r="C9" s="79">
        <f>SUM(C2:C7)</f>
        <v>5872044</v>
      </c>
      <c r="D9" s="19">
        <f>SUM(D2:D7)</f>
        <v>31637408</v>
      </c>
      <c r="E9" s="19">
        <f>SUM(E2:E7)</f>
        <v>6858499</v>
      </c>
      <c r="F9" s="19">
        <f>SUM(F2:F7)</f>
        <v>5755363</v>
      </c>
      <c r="G9" s="79">
        <f>SUM(G2:G8)</f>
        <v>1052074</v>
      </c>
      <c r="H9" s="19">
        <f>SUM(H2:H7)</f>
        <v>63251367</v>
      </c>
      <c r="I9" s="79">
        <f>SUM(I2:I7)</f>
        <v>5092064</v>
      </c>
      <c r="J9" s="19">
        <f>SUM(J2:J7)</f>
        <v>4358188</v>
      </c>
      <c r="K9" s="19">
        <f>SUM(K2:K7)</f>
        <v>5945550</v>
      </c>
      <c r="L9" s="19">
        <f>SUM(L2:L8)</f>
        <v>122622849</v>
      </c>
    </row>
  </sheetData>
  <conditionalFormatting sqref="A2:L8">
    <cfRule type="expression" dxfId="4" priority="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0858-FE76-4C2B-9C73-D6D28F873353}">
  <sheetPr>
    <tabColor theme="4" tint="0.79998168889431442"/>
    <pageSetUpPr fitToPage="1"/>
  </sheetPr>
  <dimension ref="A1:O255"/>
  <sheetViews>
    <sheetView zoomScaleNormal="100" workbookViewId="0">
      <selection activeCell="B7" sqref="B7:L7"/>
    </sheetView>
  </sheetViews>
  <sheetFormatPr baseColWidth="10" defaultColWidth="9.140625" defaultRowHeight="11.25" x14ac:dyDescent="0.2"/>
  <cols>
    <col min="1" max="1" width="37.5703125" style="4" customWidth="1"/>
    <col min="2" max="3" width="12.5703125" style="82" customWidth="1"/>
    <col min="4" max="6" width="12.5703125" style="4" customWidth="1"/>
    <col min="7" max="7" width="12.5703125" style="82" customWidth="1"/>
    <col min="8" max="8" width="12.5703125" style="4" customWidth="1"/>
    <col min="9" max="9" width="12.5703125" style="82" customWidth="1"/>
    <col min="10" max="11" width="12.5703125" style="4" customWidth="1"/>
    <col min="12" max="13" width="12.5703125" style="82" customWidth="1"/>
    <col min="14" max="14" width="9.140625" style="4" hidden="1" customWidth="1"/>
    <col min="15" max="15" width="28.5703125" style="4" hidden="1" customWidth="1"/>
    <col min="16" max="17" width="9.140625" style="4"/>
    <col min="18" max="18" width="25.140625" style="4" bestFit="1" customWidth="1"/>
    <col min="19" max="16384" width="9.140625" style="4"/>
  </cols>
  <sheetData>
    <row r="1" spans="1:15" ht="44.25" customHeight="1" x14ac:dyDescent="0.2">
      <c r="A1" s="122" t="s">
        <v>482</v>
      </c>
      <c r="B1" s="123"/>
      <c r="C1" s="123"/>
      <c r="D1" s="123"/>
      <c r="E1" s="123"/>
      <c r="F1" s="123"/>
      <c r="G1" s="123"/>
      <c r="H1" s="123"/>
      <c r="I1" s="123"/>
      <c r="J1" s="123"/>
      <c r="K1" s="123"/>
      <c r="L1" s="123"/>
    </row>
    <row r="2" spans="1:15" ht="12.75" x14ac:dyDescent="0.2">
      <c r="A2" s="2" t="s">
        <v>0</v>
      </c>
      <c r="B2" s="71"/>
      <c r="C2" s="71"/>
      <c r="D2" s="3"/>
      <c r="E2" s="3"/>
      <c r="F2" s="3"/>
      <c r="G2" s="71"/>
      <c r="H2" s="3"/>
      <c r="I2" s="71"/>
      <c r="J2" s="3"/>
      <c r="K2" s="3"/>
      <c r="L2" s="71"/>
    </row>
    <row r="3" spans="1:15" ht="12.75" x14ac:dyDescent="0.2">
      <c r="A3" s="5" t="s">
        <v>1</v>
      </c>
      <c r="B3" s="92" t="s">
        <v>2</v>
      </c>
      <c r="C3" s="92"/>
      <c r="D3" s="3"/>
      <c r="E3" s="3"/>
      <c r="F3" s="3"/>
      <c r="G3" s="71"/>
      <c r="H3" s="3"/>
      <c r="I3" s="71"/>
      <c r="J3" s="3"/>
      <c r="K3" s="3"/>
      <c r="L3" s="71"/>
    </row>
    <row r="4" spans="1:15" ht="12.75" x14ac:dyDescent="0.2">
      <c r="A4" s="7" t="s">
        <v>3</v>
      </c>
      <c r="B4" s="92" t="s">
        <v>2</v>
      </c>
      <c r="C4" s="71"/>
      <c r="D4" s="3"/>
      <c r="E4" s="3"/>
      <c r="F4" s="3"/>
      <c r="G4" s="71"/>
      <c r="H4" s="3"/>
      <c r="I4" s="71"/>
      <c r="J4" s="3"/>
      <c r="K4" s="3"/>
      <c r="L4" s="71"/>
    </row>
    <row r="5" spans="1:15" ht="12.75" x14ac:dyDescent="0.2">
      <c r="A5" s="130" t="s">
        <v>4</v>
      </c>
      <c r="B5" s="130"/>
      <c r="C5" s="130"/>
      <c r="D5" s="130"/>
      <c r="E5" s="130"/>
      <c r="F5" s="130"/>
      <c r="G5" s="130"/>
      <c r="H5" s="130"/>
      <c r="I5" s="130"/>
      <c r="J5" s="130"/>
      <c r="K5" s="130"/>
      <c r="L5" s="130"/>
    </row>
    <row r="6" spans="1:15" ht="12.75" x14ac:dyDescent="0.2">
      <c r="A6" s="29"/>
      <c r="B6" s="94"/>
      <c r="C6" s="94"/>
      <c r="D6" s="29"/>
      <c r="E6" s="29"/>
      <c r="F6" s="29"/>
      <c r="G6" s="94"/>
      <c r="H6" s="29"/>
      <c r="I6" s="94"/>
      <c r="J6" s="29"/>
      <c r="K6" s="29"/>
      <c r="L6" s="94"/>
    </row>
    <row r="7" spans="1:15" ht="80.25" customHeight="1" x14ac:dyDescent="0.2">
      <c r="A7" s="11" t="s">
        <v>358</v>
      </c>
      <c r="B7" s="93" t="s">
        <v>614</v>
      </c>
      <c r="C7" s="93" t="s">
        <v>613</v>
      </c>
      <c r="D7" s="12" t="s">
        <v>7</v>
      </c>
      <c r="E7" s="13" t="s">
        <v>8</v>
      </c>
      <c r="F7" s="13" t="s">
        <v>9</v>
      </c>
      <c r="G7" s="74" t="s">
        <v>610</v>
      </c>
      <c r="H7" s="13" t="s">
        <v>10</v>
      </c>
      <c r="I7" s="74" t="s">
        <v>611</v>
      </c>
      <c r="J7" s="14" t="s">
        <v>11</v>
      </c>
      <c r="K7" s="13" t="s">
        <v>12</v>
      </c>
      <c r="L7" s="74" t="s">
        <v>13</v>
      </c>
      <c r="M7" s="86" t="s">
        <v>14</v>
      </c>
    </row>
    <row r="8" spans="1:15" ht="12.75" x14ac:dyDescent="0.2">
      <c r="A8" t="s">
        <v>15</v>
      </c>
      <c r="B8" s="75">
        <v>2751470</v>
      </c>
      <c r="C8" s="75">
        <v>3651674</v>
      </c>
      <c r="D8" s="37">
        <v>6403144</v>
      </c>
      <c r="E8" s="37">
        <v>296033</v>
      </c>
      <c r="F8" s="37">
        <v>0</v>
      </c>
      <c r="G8" s="75">
        <v>57530</v>
      </c>
      <c r="H8" s="37">
        <v>3222397</v>
      </c>
      <c r="I8" s="75">
        <v>31605</v>
      </c>
      <c r="J8" s="37">
        <v>0</v>
      </c>
      <c r="K8" s="37">
        <v>34534</v>
      </c>
      <c r="L8" s="75">
        <v>10045243</v>
      </c>
      <c r="M8" s="87" t="s">
        <v>16</v>
      </c>
      <c r="N8" t="s">
        <v>339</v>
      </c>
      <c r="O8" t="s">
        <v>344</v>
      </c>
    </row>
    <row r="9" spans="1:15" ht="12.75" x14ac:dyDescent="0.2">
      <c r="A9" t="s">
        <v>359</v>
      </c>
      <c r="B9" s="75">
        <v>21911</v>
      </c>
      <c r="C9" s="75">
        <v>8</v>
      </c>
      <c r="D9" s="37">
        <v>21919</v>
      </c>
      <c r="E9" s="37">
        <v>17539</v>
      </c>
      <c r="F9" s="37">
        <v>0</v>
      </c>
      <c r="G9" s="75">
        <v>0</v>
      </c>
      <c r="H9" s="37">
        <v>0</v>
      </c>
      <c r="I9" s="75">
        <v>0</v>
      </c>
      <c r="J9" s="37">
        <v>0</v>
      </c>
      <c r="K9" s="37">
        <v>0</v>
      </c>
      <c r="L9" s="75">
        <v>39458</v>
      </c>
      <c r="M9" s="87" t="s">
        <v>17</v>
      </c>
      <c r="N9" t="s">
        <v>340</v>
      </c>
      <c r="O9" t="s">
        <v>340</v>
      </c>
    </row>
    <row r="10" spans="1:15" ht="12.75" x14ac:dyDescent="0.2">
      <c r="A10" t="s">
        <v>360</v>
      </c>
      <c r="B10" s="75">
        <v>7521</v>
      </c>
      <c r="C10" s="75">
        <v>108</v>
      </c>
      <c r="D10" s="37">
        <v>7629</v>
      </c>
      <c r="E10" s="37">
        <v>11330</v>
      </c>
      <c r="F10" s="37">
        <v>0</v>
      </c>
      <c r="G10" s="75">
        <v>0</v>
      </c>
      <c r="H10" s="37">
        <v>0</v>
      </c>
      <c r="I10" s="75">
        <v>0</v>
      </c>
      <c r="J10" s="37">
        <v>0</v>
      </c>
      <c r="K10" s="37">
        <v>48</v>
      </c>
      <c r="L10" s="75">
        <v>19007</v>
      </c>
      <c r="M10" s="87" t="s">
        <v>18</v>
      </c>
      <c r="N10" t="s">
        <v>341</v>
      </c>
      <c r="O10" t="s">
        <v>343</v>
      </c>
    </row>
    <row r="11" spans="1:15" ht="12.75" x14ac:dyDescent="0.2">
      <c r="A11" t="s">
        <v>361</v>
      </c>
      <c r="B11" s="75">
        <v>0</v>
      </c>
      <c r="C11" s="75">
        <v>0</v>
      </c>
      <c r="D11" s="37">
        <v>0</v>
      </c>
      <c r="E11" s="37">
        <v>14</v>
      </c>
      <c r="F11" s="37">
        <v>0</v>
      </c>
      <c r="G11" s="75">
        <v>0</v>
      </c>
      <c r="H11" s="37">
        <v>0</v>
      </c>
      <c r="I11" s="75">
        <v>0</v>
      </c>
      <c r="J11" s="37">
        <v>0</v>
      </c>
      <c r="K11" s="37">
        <v>0</v>
      </c>
      <c r="L11" s="75">
        <v>14</v>
      </c>
      <c r="M11" s="87" t="s">
        <v>362</v>
      </c>
      <c r="N11" t="s">
        <v>340</v>
      </c>
      <c r="O11" t="s">
        <v>340</v>
      </c>
    </row>
    <row r="12" spans="1:15" ht="12.75" x14ac:dyDescent="0.2">
      <c r="A12" t="s">
        <v>19</v>
      </c>
      <c r="B12" s="75">
        <v>11501</v>
      </c>
      <c r="C12" s="75">
        <v>5</v>
      </c>
      <c r="D12" s="37">
        <v>11506</v>
      </c>
      <c r="E12" s="37">
        <v>22824</v>
      </c>
      <c r="F12" s="37">
        <v>0</v>
      </c>
      <c r="G12" s="75">
        <v>0</v>
      </c>
      <c r="H12" s="37">
        <v>0</v>
      </c>
      <c r="I12" s="75">
        <v>0</v>
      </c>
      <c r="J12" s="37">
        <v>0</v>
      </c>
      <c r="K12" s="37">
        <v>13637</v>
      </c>
      <c r="L12" s="75">
        <v>47967</v>
      </c>
      <c r="M12" s="87" t="s">
        <v>20</v>
      </c>
      <c r="N12" t="s">
        <v>334</v>
      </c>
      <c r="O12" t="s">
        <v>343</v>
      </c>
    </row>
    <row r="13" spans="1:15" ht="12.75" x14ac:dyDescent="0.2">
      <c r="A13" t="s">
        <v>21</v>
      </c>
      <c r="B13" s="75">
        <v>0</v>
      </c>
      <c r="C13" s="75">
        <v>0</v>
      </c>
      <c r="D13" s="37">
        <v>0</v>
      </c>
      <c r="E13" s="37">
        <v>5</v>
      </c>
      <c r="F13" s="37">
        <v>0</v>
      </c>
      <c r="G13" s="75">
        <v>0</v>
      </c>
      <c r="H13" s="37">
        <v>0</v>
      </c>
      <c r="I13" s="75">
        <v>0</v>
      </c>
      <c r="J13" s="37">
        <v>0</v>
      </c>
      <c r="K13" s="37">
        <v>0</v>
      </c>
      <c r="L13" s="75">
        <v>5</v>
      </c>
      <c r="M13" s="87" t="s">
        <v>22</v>
      </c>
      <c r="N13" t="s">
        <v>337</v>
      </c>
      <c r="O13" t="s">
        <v>346</v>
      </c>
    </row>
    <row r="14" spans="1:15" ht="12.75" x14ac:dyDescent="0.2">
      <c r="A14" t="s">
        <v>23</v>
      </c>
      <c r="B14" s="75">
        <v>67</v>
      </c>
      <c r="C14" s="75">
        <v>0</v>
      </c>
      <c r="D14" s="37">
        <v>67</v>
      </c>
      <c r="E14" s="37">
        <v>51</v>
      </c>
      <c r="F14" s="37">
        <v>0</v>
      </c>
      <c r="G14" s="75">
        <v>0</v>
      </c>
      <c r="H14" s="37">
        <v>0</v>
      </c>
      <c r="I14" s="75">
        <v>0</v>
      </c>
      <c r="J14" s="37">
        <v>0</v>
      </c>
      <c r="K14" s="37">
        <v>0</v>
      </c>
      <c r="L14" s="75">
        <v>118</v>
      </c>
      <c r="M14" s="87" t="s">
        <v>24</v>
      </c>
      <c r="N14" t="s">
        <v>337</v>
      </c>
      <c r="O14" t="s">
        <v>346</v>
      </c>
    </row>
    <row r="15" spans="1:15" ht="12.75" x14ac:dyDescent="0.2">
      <c r="A15" t="s">
        <v>25</v>
      </c>
      <c r="B15" s="75">
        <v>300</v>
      </c>
      <c r="C15" s="75">
        <v>0</v>
      </c>
      <c r="D15" s="37">
        <v>300</v>
      </c>
      <c r="E15" s="37">
        <v>4388</v>
      </c>
      <c r="F15" s="37">
        <v>0</v>
      </c>
      <c r="G15" s="75">
        <v>0</v>
      </c>
      <c r="H15" s="37">
        <v>0</v>
      </c>
      <c r="I15" s="75">
        <v>0</v>
      </c>
      <c r="J15" s="37">
        <v>0</v>
      </c>
      <c r="K15" s="37">
        <v>5</v>
      </c>
      <c r="L15" s="75">
        <v>4693</v>
      </c>
      <c r="M15" s="87" t="s">
        <v>26</v>
      </c>
      <c r="N15" t="s">
        <v>337</v>
      </c>
      <c r="O15" t="s">
        <v>345</v>
      </c>
    </row>
    <row r="16" spans="1:15" ht="12.75" x14ac:dyDescent="0.2">
      <c r="A16" t="s">
        <v>27</v>
      </c>
      <c r="B16" s="75">
        <v>14908</v>
      </c>
      <c r="C16" s="75">
        <v>164</v>
      </c>
      <c r="D16" s="37">
        <v>15072</v>
      </c>
      <c r="E16" s="37">
        <v>18378</v>
      </c>
      <c r="F16" s="37">
        <v>0</v>
      </c>
      <c r="G16" s="75">
        <v>0</v>
      </c>
      <c r="H16" s="37">
        <v>0</v>
      </c>
      <c r="I16" s="75">
        <v>0</v>
      </c>
      <c r="J16" s="37">
        <v>0</v>
      </c>
      <c r="K16" s="37">
        <v>8</v>
      </c>
      <c r="L16" s="75">
        <v>33458</v>
      </c>
      <c r="M16" s="87" t="s">
        <v>28</v>
      </c>
      <c r="N16" t="s">
        <v>340</v>
      </c>
      <c r="O16" t="s">
        <v>344</v>
      </c>
    </row>
    <row r="17" spans="1:15" ht="12.75" x14ac:dyDescent="0.2">
      <c r="A17" t="s">
        <v>363</v>
      </c>
      <c r="B17" s="75">
        <v>29</v>
      </c>
      <c r="C17" s="75">
        <v>0</v>
      </c>
      <c r="D17" s="37">
        <v>29</v>
      </c>
      <c r="E17" s="37">
        <v>68</v>
      </c>
      <c r="F17" s="37">
        <v>0</v>
      </c>
      <c r="G17" s="75">
        <v>0</v>
      </c>
      <c r="H17" s="37">
        <v>0</v>
      </c>
      <c r="I17" s="75">
        <v>0</v>
      </c>
      <c r="J17" s="37">
        <v>0</v>
      </c>
      <c r="K17" s="37">
        <v>0</v>
      </c>
      <c r="L17" s="75">
        <v>97</v>
      </c>
      <c r="M17" s="87" t="s">
        <v>31</v>
      </c>
      <c r="N17" t="s">
        <v>339</v>
      </c>
      <c r="O17" t="s">
        <v>347</v>
      </c>
    </row>
    <row r="18" spans="1:15" ht="12.75" x14ac:dyDescent="0.2">
      <c r="A18" t="s">
        <v>32</v>
      </c>
      <c r="B18" s="75">
        <v>23</v>
      </c>
      <c r="C18" s="75">
        <v>0</v>
      </c>
      <c r="D18" s="37">
        <v>23</v>
      </c>
      <c r="E18" s="37">
        <v>30</v>
      </c>
      <c r="F18" s="37">
        <v>0</v>
      </c>
      <c r="G18" s="75">
        <v>0</v>
      </c>
      <c r="H18" s="37">
        <v>0</v>
      </c>
      <c r="I18" s="75">
        <v>0</v>
      </c>
      <c r="J18" s="37">
        <v>0</v>
      </c>
      <c r="K18" s="37">
        <v>0</v>
      </c>
      <c r="L18" s="75">
        <v>53</v>
      </c>
      <c r="M18" s="87" t="s">
        <v>33</v>
      </c>
      <c r="N18" t="s">
        <v>340</v>
      </c>
      <c r="O18" t="s">
        <v>340</v>
      </c>
    </row>
    <row r="19" spans="1:15" ht="12.75" x14ac:dyDescent="0.2">
      <c r="A19" t="s">
        <v>34</v>
      </c>
      <c r="B19" s="75">
        <v>157733</v>
      </c>
      <c r="C19" s="75">
        <v>365</v>
      </c>
      <c r="D19" s="37">
        <v>158098</v>
      </c>
      <c r="E19" s="37">
        <v>6777</v>
      </c>
      <c r="F19" s="37">
        <v>0</v>
      </c>
      <c r="G19" s="75">
        <v>0</v>
      </c>
      <c r="H19" s="37">
        <v>657749</v>
      </c>
      <c r="I19" s="75">
        <v>0</v>
      </c>
      <c r="J19" s="37">
        <v>0</v>
      </c>
      <c r="K19" s="37">
        <v>0</v>
      </c>
      <c r="L19" s="75">
        <v>822624</v>
      </c>
      <c r="M19" s="87" t="s">
        <v>35</v>
      </c>
      <c r="N19" t="s">
        <v>340</v>
      </c>
      <c r="O19" t="s">
        <v>344</v>
      </c>
    </row>
    <row r="20" spans="1:15" ht="12.75" x14ac:dyDescent="0.2">
      <c r="A20" t="s">
        <v>36</v>
      </c>
      <c r="B20" s="75">
        <v>1067</v>
      </c>
      <c r="C20" s="75">
        <v>0</v>
      </c>
      <c r="D20" s="37">
        <v>1067</v>
      </c>
      <c r="E20" s="37">
        <v>1825</v>
      </c>
      <c r="F20" s="37">
        <v>0</v>
      </c>
      <c r="G20" s="75">
        <v>0</v>
      </c>
      <c r="H20" s="37">
        <v>0</v>
      </c>
      <c r="I20" s="75">
        <v>0</v>
      </c>
      <c r="J20" s="37">
        <v>0</v>
      </c>
      <c r="K20" s="37">
        <v>0</v>
      </c>
      <c r="L20" s="75">
        <v>2892</v>
      </c>
      <c r="M20" s="87" t="s">
        <v>37</v>
      </c>
      <c r="N20" t="s">
        <v>337</v>
      </c>
      <c r="O20" t="s">
        <v>346</v>
      </c>
    </row>
    <row r="21" spans="1:15" ht="12.75" x14ac:dyDescent="0.2">
      <c r="A21" t="s">
        <v>38</v>
      </c>
      <c r="B21" s="75">
        <v>304</v>
      </c>
      <c r="C21" s="75">
        <v>0</v>
      </c>
      <c r="D21" s="37">
        <v>304</v>
      </c>
      <c r="E21" s="37">
        <v>207</v>
      </c>
      <c r="F21" s="37">
        <v>0</v>
      </c>
      <c r="G21" s="75">
        <v>0</v>
      </c>
      <c r="H21" s="37">
        <v>0</v>
      </c>
      <c r="I21" s="75">
        <v>0</v>
      </c>
      <c r="J21" s="37">
        <v>0</v>
      </c>
      <c r="K21" s="37">
        <v>0</v>
      </c>
      <c r="L21" s="75">
        <v>511</v>
      </c>
      <c r="M21" s="87" t="s">
        <v>39</v>
      </c>
      <c r="N21" t="s">
        <v>341</v>
      </c>
      <c r="O21" t="s">
        <v>344</v>
      </c>
    </row>
    <row r="22" spans="1:15" ht="12.75" x14ac:dyDescent="0.2">
      <c r="A22" t="s">
        <v>40</v>
      </c>
      <c r="B22" s="75">
        <v>24101</v>
      </c>
      <c r="C22" s="75">
        <v>25</v>
      </c>
      <c r="D22" s="37">
        <v>24126</v>
      </c>
      <c r="E22" s="37">
        <v>75867</v>
      </c>
      <c r="F22" s="37">
        <v>0</v>
      </c>
      <c r="G22" s="75">
        <v>0</v>
      </c>
      <c r="H22" s="37">
        <v>0</v>
      </c>
      <c r="I22" s="75">
        <v>0</v>
      </c>
      <c r="J22" s="37">
        <v>0</v>
      </c>
      <c r="K22" s="37">
        <v>83</v>
      </c>
      <c r="L22" s="75">
        <v>100076</v>
      </c>
      <c r="M22" s="87" t="s">
        <v>41</v>
      </c>
      <c r="N22" t="s">
        <v>339</v>
      </c>
      <c r="O22" t="s">
        <v>344</v>
      </c>
    </row>
    <row r="23" spans="1:15" ht="12.75" x14ac:dyDescent="0.2">
      <c r="A23" t="s">
        <v>364</v>
      </c>
      <c r="B23" s="75">
        <v>298</v>
      </c>
      <c r="C23" s="75">
        <v>0</v>
      </c>
      <c r="D23" s="37">
        <v>298</v>
      </c>
      <c r="E23" s="37">
        <v>255</v>
      </c>
      <c r="F23" s="37">
        <v>0</v>
      </c>
      <c r="G23" s="75">
        <v>0</v>
      </c>
      <c r="H23" s="37">
        <v>0</v>
      </c>
      <c r="I23" s="75">
        <v>0</v>
      </c>
      <c r="J23" s="37">
        <v>0</v>
      </c>
      <c r="K23" s="37">
        <v>0</v>
      </c>
      <c r="L23" s="75">
        <v>553</v>
      </c>
      <c r="M23" s="87" t="s">
        <v>365</v>
      </c>
      <c r="N23" t="s">
        <v>337</v>
      </c>
      <c r="O23" t="s">
        <v>346</v>
      </c>
    </row>
    <row r="24" spans="1:15" ht="12.75" x14ac:dyDescent="0.2">
      <c r="A24" t="s">
        <v>42</v>
      </c>
      <c r="B24" s="75">
        <v>14986</v>
      </c>
      <c r="C24" s="75">
        <v>85</v>
      </c>
      <c r="D24" s="37">
        <v>15071</v>
      </c>
      <c r="E24" s="37">
        <v>11837</v>
      </c>
      <c r="F24" s="37">
        <v>0</v>
      </c>
      <c r="G24" s="75">
        <v>0</v>
      </c>
      <c r="H24" s="37">
        <v>0</v>
      </c>
      <c r="I24" s="75">
        <v>0</v>
      </c>
      <c r="J24" s="37">
        <v>0</v>
      </c>
      <c r="K24" s="37">
        <v>0</v>
      </c>
      <c r="L24" s="75">
        <v>26908</v>
      </c>
      <c r="M24" s="87" t="s">
        <v>43</v>
      </c>
      <c r="N24" t="s">
        <v>340</v>
      </c>
      <c r="O24" t="s">
        <v>340</v>
      </c>
    </row>
    <row r="25" spans="1:15" ht="12.75" x14ac:dyDescent="0.2">
      <c r="A25" t="s">
        <v>44</v>
      </c>
      <c r="B25" s="75">
        <v>53</v>
      </c>
      <c r="C25" s="75">
        <v>0</v>
      </c>
      <c r="D25" s="37">
        <v>53</v>
      </c>
      <c r="E25" s="37">
        <v>149</v>
      </c>
      <c r="F25" s="37">
        <v>0</v>
      </c>
      <c r="G25" s="75">
        <v>0</v>
      </c>
      <c r="H25" s="37">
        <v>0</v>
      </c>
      <c r="I25" s="75">
        <v>0</v>
      </c>
      <c r="J25" s="37">
        <v>0</v>
      </c>
      <c r="K25" s="37">
        <v>0</v>
      </c>
      <c r="L25" s="75">
        <v>202</v>
      </c>
      <c r="M25" s="87" t="s">
        <v>45</v>
      </c>
      <c r="N25" t="s">
        <v>340</v>
      </c>
      <c r="O25" t="s">
        <v>340</v>
      </c>
    </row>
    <row r="26" spans="1:15" ht="12.75" x14ac:dyDescent="0.2">
      <c r="A26" t="s">
        <v>46</v>
      </c>
      <c r="B26" s="75">
        <v>72</v>
      </c>
      <c r="C26" s="75">
        <v>0</v>
      </c>
      <c r="D26" s="37">
        <v>72</v>
      </c>
      <c r="E26" s="37">
        <v>976</v>
      </c>
      <c r="F26" s="37">
        <v>0</v>
      </c>
      <c r="G26" s="75">
        <v>0</v>
      </c>
      <c r="H26" s="37">
        <v>0</v>
      </c>
      <c r="I26" s="75">
        <v>0</v>
      </c>
      <c r="J26" s="37">
        <v>0</v>
      </c>
      <c r="K26" s="37">
        <v>0</v>
      </c>
      <c r="L26" s="75">
        <v>1048</v>
      </c>
      <c r="M26" s="87" t="s">
        <v>47</v>
      </c>
      <c r="N26" t="s">
        <v>337</v>
      </c>
      <c r="O26" t="s">
        <v>345</v>
      </c>
    </row>
    <row r="27" spans="1:15" ht="12.75" x14ac:dyDescent="0.2">
      <c r="A27" t="s">
        <v>48</v>
      </c>
      <c r="B27" s="75">
        <v>905</v>
      </c>
      <c r="C27" s="75">
        <v>0</v>
      </c>
      <c r="D27" s="37">
        <v>905</v>
      </c>
      <c r="E27" s="37">
        <v>2816</v>
      </c>
      <c r="F27" s="37">
        <v>0</v>
      </c>
      <c r="G27" s="75">
        <v>0</v>
      </c>
      <c r="H27" s="37">
        <v>8785</v>
      </c>
      <c r="I27" s="75">
        <v>0</v>
      </c>
      <c r="J27" s="37">
        <v>0</v>
      </c>
      <c r="K27" s="37">
        <v>0</v>
      </c>
      <c r="L27" s="75">
        <v>12506</v>
      </c>
      <c r="M27" s="87" t="s">
        <v>49</v>
      </c>
      <c r="N27" t="s">
        <v>335</v>
      </c>
      <c r="O27" t="s">
        <v>343</v>
      </c>
    </row>
    <row r="28" spans="1:15" ht="12.75" x14ac:dyDescent="0.2">
      <c r="A28" t="s">
        <v>449</v>
      </c>
      <c r="B28" s="75">
        <v>5</v>
      </c>
      <c r="C28" s="75">
        <v>0</v>
      </c>
      <c r="D28" s="37">
        <v>5</v>
      </c>
      <c r="E28" s="37">
        <v>99</v>
      </c>
      <c r="F28" s="37">
        <v>0</v>
      </c>
      <c r="G28" s="75">
        <v>0</v>
      </c>
      <c r="H28" s="37">
        <v>0</v>
      </c>
      <c r="I28" s="75">
        <v>0</v>
      </c>
      <c r="J28" s="37">
        <v>0</v>
      </c>
      <c r="K28" s="37">
        <v>0</v>
      </c>
      <c r="L28" s="75">
        <v>104</v>
      </c>
      <c r="M28" s="87" t="s">
        <v>448</v>
      </c>
      <c r="N28" t="s">
        <v>337</v>
      </c>
      <c r="O28" t="s">
        <v>346</v>
      </c>
    </row>
    <row r="29" spans="1:15" ht="12.75" x14ac:dyDescent="0.2">
      <c r="A29" t="s">
        <v>366</v>
      </c>
      <c r="B29" s="75">
        <v>6676</v>
      </c>
      <c r="C29" s="75">
        <v>0</v>
      </c>
      <c r="D29" s="37">
        <v>6676</v>
      </c>
      <c r="E29" s="37">
        <v>468</v>
      </c>
      <c r="F29" s="37">
        <v>0</v>
      </c>
      <c r="G29" s="75">
        <v>0</v>
      </c>
      <c r="H29" s="37">
        <v>0</v>
      </c>
      <c r="I29" s="75">
        <v>0</v>
      </c>
      <c r="J29" s="37">
        <v>0</v>
      </c>
      <c r="K29" s="37">
        <v>0</v>
      </c>
      <c r="L29" s="75">
        <v>7144</v>
      </c>
      <c r="M29" s="87" t="s">
        <v>367</v>
      </c>
      <c r="N29" t="s">
        <v>339</v>
      </c>
      <c r="O29" t="s">
        <v>344</v>
      </c>
    </row>
    <row r="30" spans="1:15" ht="12.75" x14ac:dyDescent="0.2">
      <c r="A30" t="s">
        <v>368</v>
      </c>
      <c r="B30" s="75">
        <v>468</v>
      </c>
      <c r="C30" s="75">
        <v>0</v>
      </c>
      <c r="D30" s="37">
        <v>468</v>
      </c>
      <c r="E30" s="37">
        <v>4467</v>
      </c>
      <c r="F30" s="37">
        <v>0</v>
      </c>
      <c r="G30" s="75">
        <v>0</v>
      </c>
      <c r="H30" s="37">
        <v>0</v>
      </c>
      <c r="I30" s="75">
        <v>0</v>
      </c>
      <c r="J30" s="37">
        <v>0</v>
      </c>
      <c r="K30" s="37">
        <v>0</v>
      </c>
      <c r="L30" s="75">
        <v>4935</v>
      </c>
      <c r="M30" s="87" t="s">
        <v>50</v>
      </c>
      <c r="N30" t="s">
        <v>337</v>
      </c>
      <c r="O30" t="s">
        <v>345</v>
      </c>
    </row>
    <row r="31" spans="1:15" ht="12.75" x14ac:dyDescent="0.2">
      <c r="A31" t="s">
        <v>51</v>
      </c>
      <c r="B31" s="75">
        <v>19313</v>
      </c>
      <c r="C31" s="75">
        <v>5</v>
      </c>
      <c r="D31" s="37">
        <v>19318</v>
      </c>
      <c r="E31" s="37">
        <v>1313</v>
      </c>
      <c r="F31" s="37">
        <v>0</v>
      </c>
      <c r="G31" s="75">
        <v>0</v>
      </c>
      <c r="H31" s="37">
        <v>91223</v>
      </c>
      <c r="I31" s="75">
        <v>0</v>
      </c>
      <c r="J31" s="37">
        <v>0</v>
      </c>
      <c r="K31" s="37">
        <v>0</v>
      </c>
      <c r="L31" s="75">
        <v>111854</v>
      </c>
      <c r="M31" s="87" t="s">
        <v>52</v>
      </c>
      <c r="N31" t="s">
        <v>340</v>
      </c>
      <c r="O31" t="s">
        <v>340</v>
      </c>
    </row>
    <row r="32" spans="1:15" ht="12.75" x14ac:dyDescent="0.2">
      <c r="A32" t="s">
        <v>53</v>
      </c>
      <c r="B32" s="75">
        <v>150</v>
      </c>
      <c r="C32" s="75">
        <v>0</v>
      </c>
      <c r="D32" s="37">
        <v>150</v>
      </c>
      <c r="E32" s="37">
        <v>1389</v>
      </c>
      <c r="F32" s="37">
        <v>0</v>
      </c>
      <c r="G32" s="75">
        <v>0</v>
      </c>
      <c r="H32" s="37">
        <v>0</v>
      </c>
      <c r="I32" s="75">
        <v>0</v>
      </c>
      <c r="J32" s="37">
        <v>0</v>
      </c>
      <c r="K32" s="37">
        <v>28</v>
      </c>
      <c r="L32" s="75">
        <v>1567</v>
      </c>
      <c r="M32" s="87" t="s">
        <v>54</v>
      </c>
      <c r="N32" t="s">
        <v>334</v>
      </c>
      <c r="O32" t="s">
        <v>343</v>
      </c>
    </row>
    <row r="33" spans="1:15" ht="12.75" x14ac:dyDescent="0.2">
      <c r="A33" t="s">
        <v>55</v>
      </c>
      <c r="B33" s="75">
        <v>3798</v>
      </c>
      <c r="C33" s="75">
        <v>0</v>
      </c>
      <c r="D33" s="37">
        <v>3798</v>
      </c>
      <c r="E33" s="37">
        <v>72234</v>
      </c>
      <c r="F33" s="37">
        <v>0</v>
      </c>
      <c r="G33" s="75">
        <v>0</v>
      </c>
      <c r="H33" s="37">
        <v>0</v>
      </c>
      <c r="I33" s="75">
        <v>0</v>
      </c>
      <c r="J33" s="37">
        <v>0</v>
      </c>
      <c r="K33" s="37">
        <v>1438</v>
      </c>
      <c r="L33" s="75">
        <v>77470</v>
      </c>
      <c r="M33" s="87" t="s">
        <v>56</v>
      </c>
      <c r="N33" t="s">
        <v>337</v>
      </c>
      <c r="O33" t="s">
        <v>345</v>
      </c>
    </row>
    <row r="34" spans="1:15" ht="12.75" x14ac:dyDescent="0.2">
      <c r="A34" t="s">
        <v>57</v>
      </c>
      <c r="B34" s="75">
        <v>0</v>
      </c>
      <c r="C34" s="75">
        <v>0</v>
      </c>
      <c r="D34" s="37">
        <v>0</v>
      </c>
      <c r="E34" s="37">
        <v>24</v>
      </c>
      <c r="F34" s="37">
        <v>0</v>
      </c>
      <c r="G34" s="75">
        <v>0</v>
      </c>
      <c r="H34" s="37">
        <v>0</v>
      </c>
      <c r="I34" s="75">
        <v>0</v>
      </c>
      <c r="J34" s="37">
        <v>0</v>
      </c>
      <c r="K34" s="37">
        <v>0</v>
      </c>
      <c r="L34" s="75">
        <v>24</v>
      </c>
      <c r="M34" s="87" t="s">
        <v>58</v>
      </c>
      <c r="N34" t="s">
        <v>339</v>
      </c>
      <c r="O34" t="s">
        <v>344</v>
      </c>
    </row>
    <row r="35" spans="1:15" ht="12.75" x14ac:dyDescent="0.2">
      <c r="A35" t="s">
        <v>369</v>
      </c>
      <c r="B35" s="75">
        <v>393</v>
      </c>
      <c r="C35" s="75">
        <v>0</v>
      </c>
      <c r="D35" s="37">
        <v>393</v>
      </c>
      <c r="E35" s="37">
        <v>389</v>
      </c>
      <c r="F35" s="37">
        <v>0</v>
      </c>
      <c r="G35" s="75">
        <v>0</v>
      </c>
      <c r="H35" s="37">
        <v>0</v>
      </c>
      <c r="I35" s="75">
        <v>0</v>
      </c>
      <c r="J35" s="37">
        <v>0</v>
      </c>
      <c r="K35" s="37">
        <v>5</v>
      </c>
      <c r="L35" s="75">
        <v>787</v>
      </c>
      <c r="M35" s="87" t="s">
        <v>59</v>
      </c>
      <c r="N35" t="s">
        <v>340</v>
      </c>
      <c r="O35" t="s">
        <v>340</v>
      </c>
    </row>
    <row r="36" spans="1:15" ht="12.75" x14ac:dyDescent="0.2">
      <c r="A36" t="s">
        <v>60</v>
      </c>
      <c r="B36" s="75">
        <v>54764</v>
      </c>
      <c r="C36" s="75">
        <v>105</v>
      </c>
      <c r="D36" s="37">
        <v>54869</v>
      </c>
      <c r="E36" s="37">
        <v>90419</v>
      </c>
      <c r="F36" s="37">
        <v>0</v>
      </c>
      <c r="G36" s="75">
        <v>0</v>
      </c>
      <c r="H36" s="37">
        <v>2062534</v>
      </c>
      <c r="I36" s="75">
        <v>0</v>
      </c>
      <c r="J36" s="37">
        <v>0</v>
      </c>
      <c r="K36" s="37">
        <v>0</v>
      </c>
      <c r="L36" s="75">
        <v>2207822</v>
      </c>
      <c r="M36" s="87" t="s">
        <v>61</v>
      </c>
      <c r="N36" t="s">
        <v>335</v>
      </c>
      <c r="O36" t="s">
        <v>343</v>
      </c>
    </row>
    <row r="37" spans="1:15" ht="12.75" x14ac:dyDescent="0.2">
      <c r="A37" t="s">
        <v>62</v>
      </c>
      <c r="B37" s="75">
        <v>319850</v>
      </c>
      <c r="C37" s="75">
        <v>7</v>
      </c>
      <c r="D37" s="37">
        <v>319857</v>
      </c>
      <c r="E37" s="37">
        <v>61035</v>
      </c>
      <c r="F37" s="37">
        <v>0</v>
      </c>
      <c r="G37" s="75">
        <v>26663</v>
      </c>
      <c r="H37" s="37">
        <v>8177</v>
      </c>
      <c r="I37" s="75">
        <v>0</v>
      </c>
      <c r="J37" s="37">
        <v>0</v>
      </c>
      <c r="K37" s="37">
        <v>6226</v>
      </c>
      <c r="L37" s="75">
        <v>421958</v>
      </c>
      <c r="M37" s="87" t="s">
        <v>63</v>
      </c>
      <c r="N37" t="s">
        <v>333</v>
      </c>
      <c r="O37" t="s">
        <v>343</v>
      </c>
    </row>
    <row r="38" spans="1:15" ht="12.75" x14ac:dyDescent="0.2">
      <c r="A38" t="s">
        <v>64</v>
      </c>
      <c r="B38" s="75">
        <v>19</v>
      </c>
      <c r="C38" s="75">
        <v>0</v>
      </c>
      <c r="D38" s="37">
        <v>19</v>
      </c>
      <c r="E38" s="37">
        <v>247</v>
      </c>
      <c r="F38" s="37">
        <v>0</v>
      </c>
      <c r="G38" s="75">
        <v>0</v>
      </c>
      <c r="H38" s="37">
        <v>0</v>
      </c>
      <c r="I38" s="75">
        <v>0</v>
      </c>
      <c r="J38" s="37">
        <v>0</v>
      </c>
      <c r="K38" s="37">
        <v>0</v>
      </c>
      <c r="L38" s="75">
        <v>266</v>
      </c>
      <c r="M38" s="87" t="s">
        <v>65</v>
      </c>
      <c r="N38" t="s">
        <v>335</v>
      </c>
      <c r="O38" t="s">
        <v>343</v>
      </c>
    </row>
    <row r="39" spans="1:15" ht="12.75" x14ac:dyDescent="0.2">
      <c r="A39" t="s">
        <v>66</v>
      </c>
      <c r="B39" s="75">
        <v>11624</v>
      </c>
      <c r="C39" s="75">
        <v>0</v>
      </c>
      <c r="D39" s="37">
        <v>11624</v>
      </c>
      <c r="E39" s="37">
        <v>959</v>
      </c>
      <c r="F39" s="37">
        <v>0</v>
      </c>
      <c r="G39" s="75">
        <v>0</v>
      </c>
      <c r="H39" s="37">
        <v>0</v>
      </c>
      <c r="I39" s="75">
        <v>0</v>
      </c>
      <c r="J39" s="37">
        <v>0</v>
      </c>
      <c r="K39" s="37">
        <v>0</v>
      </c>
      <c r="L39" s="75">
        <v>12583</v>
      </c>
      <c r="M39" s="87" t="s">
        <v>67</v>
      </c>
      <c r="N39" t="s">
        <v>339</v>
      </c>
      <c r="O39" t="s">
        <v>344</v>
      </c>
    </row>
    <row r="40" spans="1:15" ht="12.75" x14ac:dyDescent="0.2">
      <c r="A40" t="s">
        <v>68</v>
      </c>
      <c r="B40" s="75">
        <v>110610</v>
      </c>
      <c r="C40" s="75">
        <v>105</v>
      </c>
      <c r="D40" s="37">
        <v>110715</v>
      </c>
      <c r="E40" s="37">
        <v>50840</v>
      </c>
      <c r="F40" s="37">
        <v>0</v>
      </c>
      <c r="G40" s="75">
        <v>2058</v>
      </c>
      <c r="H40" s="37">
        <v>1075252</v>
      </c>
      <c r="I40" s="75">
        <v>15050</v>
      </c>
      <c r="J40" s="37">
        <v>0</v>
      </c>
      <c r="K40" s="37">
        <v>13261</v>
      </c>
      <c r="L40" s="75">
        <v>1267176</v>
      </c>
      <c r="M40" s="87" t="s">
        <v>69</v>
      </c>
      <c r="N40" t="s">
        <v>335</v>
      </c>
      <c r="O40" t="s">
        <v>343</v>
      </c>
    </row>
    <row r="41" spans="1:15" ht="12.75" x14ac:dyDescent="0.2">
      <c r="A41" t="s">
        <v>370</v>
      </c>
      <c r="B41" s="75">
        <v>218</v>
      </c>
      <c r="C41" s="75">
        <v>5</v>
      </c>
      <c r="D41" s="37">
        <v>223</v>
      </c>
      <c r="E41" s="37">
        <v>311</v>
      </c>
      <c r="F41" s="37">
        <v>0</v>
      </c>
      <c r="G41" s="75">
        <v>0</v>
      </c>
      <c r="H41" s="37">
        <v>0</v>
      </c>
      <c r="I41" s="75">
        <v>0</v>
      </c>
      <c r="J41" s="37">
        <v>0</v>
      </c>
      <c r="K41" s="37">
        <v>0</v>
      </c>
      <c r="L41" s="75">
        <v>534</v>
      </c>
      <c r="M41" s="87" t="s">
        <v>70</v>
      </c>
      <c r="N41" t="s">
        <v>337</v>
      </c>
      <c r="O41" t="s">
        <v>346</v>
      </c>
    </row>
    <row r="42" spans="1:15" ht="12.75" x14ac:dyDescent="0.2">
      <c r="A42" t="s">
        <v>73</v>
      </c>
      <c r="B42" s="75">
        <v>759182</v>
      </c>
      <c r="C42" s="75">
        <v>5</v>
      </c>
      <c r="D42" s="37">
        <v>759187</v>
      </c>
      <c r="E42" s="37">
        <v>14775</v>
      </c>
      <c r="F42" s="37">
        <v>0</v>
      </c>
      <c r="G42" s="75">
        <v>14449</v>
      </c>
      <c r="H42" s="37">
        <v>511803</v>
      </c>
      <c r="I42" s="75">
        <v>325938</v>
      </c>
      <c r="J42" s="37">
        <v>0</v>
      </c>
      <c r="K42" s="37">
        <v>3402</v>
      </c>
      <c r="L42" s="75">
        <v>1629554</v>
      </c>
      <c r="M42" s="87" t="s">
        <v>74</v>
      </c>
      <c r="N42" t="s">
        <v>335</v>
      </c>
      <c r="O42" t="s">
        <v>343</v>
      </c>
    </row>
    <row r="43" spans="1:15" ht="12.75" x14ac:dyDescent="0.2">
      <c r="A43" t="s">
        <v>75</v>
      </c>
      <c r="B43" s="75">
        <v>10196</v>
      </c>
      <c r="C43" s="75">
        <v>0</v>
      </c>
      <c r="D43" s="37">
        <v>10196</v>
      </c>
      <c r="E43" s="37">
        <v>40745</v>
      </c>
      <c r="F43" s="37">
        <v>0</v>
      </c>
      <c r="G43" s="75">
        <v>0</v>
      </c>
      <c r="H43" s="37">
        <v>215928</v>
      </c>
      <c r="I43" s="75">
        <v>0</v>
      </c>
      <c r="J43" s="37">
        <v>0</v>
      </c>
      <c r="K43" s="37">
        <v>100648</v>
      </c>
      <c r="L43" s="75">
        <v>367517</v>
      </c>
      <c r="M43" s="87" t="s">
        <v>76</v>
      </c>
      <c r="N43" t="s">
        <v>335</v>
      </c>
      <c r="O43" t="s">
        <v>343</v>
      </c>
    </row>
    <row r="44" spans="1:15" ht="12.75" x14ac:dyDescent="0.2">
      <c r="A44" t="s">
        <v>371</v>
      </c>
      <c r="B44" s="75">
        <v>1901</v>
      </c>
      <c r="C44" s="75">
        <v>0</v>
      </c>
      <c r="D44" s="37">
        <v>1901</v>
      </c>
      <c r="E44" s="37">
        <v>19228</v>
      </c>
      <c r="F44" s="37">
        <v>0</v>
      </c>
      <c r="G44" s="75">
        <v>0</v>
      </c>
      <c r="H44" s="37">
        <v>0</v>
      </c>
      <c r="I44" s="75">
        <v>0</v>
      </c>
      <c r="J44" s="37">
        <v>0</v>
      </c>
      <c r="K44" s="37">
        <v>2807</v>
      </c>
      <c r="L44" s="75">
        <v>23936</v>
      </c>
      <c r="M44" s="87" t="s">
        <v>77</v>
      </c>
      <c r="N44" t="s">
        <v>337</v>
      </c>
      <c r="O44" t="s">
        <v>345</v>
      </c>
    </row>
    <row r="45" spans="1:15" ht="12.75" x14ac:dyDescent="0.2">
      <c r="A45" t="s">
        <v>372</v>
      </c>
      <c r="B45" s="75">
        <v>160543</v>
      </c>
      <c r="C45" s="75">
        <v>22</v>
      </c>
      <c r="D45" s="37">
        <v>160565</v>
      </c>
      <c r="E45" s="37">
        <v>137143</v>
      </c>
      <c r="F45" s="37">
        <v>0</v>
      </c>
      <c r="G45" s="75">
        <v>0</v>
      </c>
      <c r="H45" s="37">
        <v>0</v>
      </c>
      <c r="I45" s="75">
        <v>0</v>
      </c>
      <c r="J45" s="37">
        <v>0</v>
      </c>
      <c r="K45" s="37">
        <v>53</v>
      </c>
      <c r="L45" s="75">
        <v>297761</v>
      </c>
      <c r="M45" s="87" t="s">
        <v>80</v>
      </c>
      <c r="N45" t="s">
        <v>339</v>
      </c>
      <c r="O45" t="s">
        <v>344</v>
      </c>
    </row>
    <row r="46" spans="1:15" ht="12.75" x14ac:dyDescent="0.2">
      <c r="A46" t="s">
        <v>78</v>
      </c>
      <c r="B46" s="75">
        <v>350</v>
      </c>
      <c r="C46" s="75">
        <v>0</v>
      </c>
      <c r="D46" s="37">
        <v>350</v>
      </c>
      <c r="E46" s="37">
        <v>683</v>
      </c>
      <c r="F46" s="37">
        <v>0</v>
      </c>
      <c r="G46" s="75">
        <v>0</v>
      </c>
      <c r="H46" s="37">
        <v>0</v>
      </c>
      <c r="I46" s="75">
        <v>0</v>
      </c>
      <c r="J46" s="37">
        <v>0</v>
      </c>
      <c r="K46" s="37">
        <v>0</v>
      </c>
      <c r="L46" s="75">
        <v>1033</v>
      </c>
      <c r="M46" s="87" t="s">
        <v>79</v>
      </c>
      <c r="N46" t="s">
        <v>339</v>
      </c>
      <c r="O46" t="s">
        <v>344</v>
      </c>
    </row>
    <row r="47" spans="1:15" ht="12.75" x14ac:dyDescent="0.2">
      <c r="A47" t="s">
        <v>373</v>
      </c>
      <c r="B47" s="75">
        <v>15</v>
      </c>
      <c r="C47" s="75">
        <v>0</v>
      </c>
      <c r="D47" s="37">
        <v>15</v>
      </c>
      <c r="E47" s="37">
        <v>6</v>
      </c>
      <c r="F47" s="37">
        <v>0</v>
      </c>
      <c r="G47" s="75">
        <v>0</v>
      </c>
      <c r="H47" s="37">
        <v>0</v>
      </c>
      <c r="I47" s="75">
        <v>0</v>
      </c>
      <c r="J47" s="37">
        <v>0</v>
      </c>
      <c r="K47" s="37">
        <v>0</v>
      </c>
      <c r="L47" s="75">
        <v>21</v>
      </c>
      <c r="M47" s="87" t="s">
        <v>374</v>
      </c>
      <c r="N47" t="s">
        <v>339</v>
      </c>
      <c r="O47" t="s">
        <v>344</v>
      </c>
    </row>
    <row r="48" spans="1:15" ht="12.75" x14ac:dyDescent="0.2">
      <c r="A48" t="s">
        <v>469</v>
      </c>
      <c r="B48" s="75">
        <v>95508</v>
      </c>
      <c r="C48" s="75">
        <v>20005</v>
      </c>
      <c r="D48" s="37">
        <v>115513</v>
      </c>
      <c r="E48" s="37">
        <v>301824</v>
      </c>
      <c r="F48" s="37">
        <v>0</v>
      </c>
      <c r="G48" s="75">
        <v>5</v>
      </c>
      <c r="H48" s="37">
        <v>6918373</v>
      </c>
      <c r="I48" s="75">
        <v>0</v>
      </c>
      <c r="J48" s="37">
        <v>0</v>
      </c>
      <c r="K48" s="37">
        <v>532962</v>
      </c>
      <c r="L48" s="75">
        <v>7868677</v>
      </c>
      <c r="M48" s="87" t="s">
        <v>81</v>
      </c>
      <c r="N48" t="s">
        <v>337</v>
      </c>
      <c r="O48" t="s">
        <v>345</v>
      </c>
    </row>
    <row r="49" spans="1:15" ht="12.75" x14ac:dyDescent="0.2">
      <c r="A49" t="s">
        <v>82</v>
      </c>
      <c r="B49" s="75">
        <v>2194</v>
      </c>
      <c r="C49" s="75">
        <v>0</v>
      </c>
      <c r="D49" s="37">
        <v>2194</v>
      </c>
      <c r="E49" s="37">
        <v>921</v>
      </c>
      <c r="F49" s="37">
        <v>0</v>
      </c>
      <c r="G49" s="75">
        <v>0</v>
      </c>
      <c r="H49" s="37">
        <v>0</v>
      </c>
      <c r="I49" s="75">
        <v>0</v>
      </c>
      <c r="J49" s="37">
        <v>0</v>
      </c>
      <c r="K49" s="37">
        <v>0</v>
      </c>
      <c r="L49" s="75">
        <v>3115</v>
      </c>
      <c r="M49" s="87" t="s">
        <v>83</v>
      </c>
      <c r="N49" t="s">
        <v>334</v>
      </c>
      <c r="O49" t="s">
        <v>343</v>
      </c>
    </row>
    <row r="50" spans="1:15" ht="12.75" x14ac:dyDescent="0.2">
      <c r="A50" t="s">
        <v>84</v>
      </c>
      <c r="B50" s="75">
        <v>13813</v>
      </c>
      <c r="C50" s="75">
        <v>7</v>
      </c>
      <c r="D50" s="37">
        <v>13820</v>
      </c>
      <c r="E50" s="37">
        <v>10363</v>
      </c>
      <c r="F50" s="37">
        <v>0</v>
      </c>
      <c r="G50" s="75">
        <v>0</v>
      </c>
      <c r="H50" s="37">
        <v>0</v>
      </c>
      <c r="I50" s="75">
        <v>0</v>
      </c>
      <c r="J50" s="37">
        <v>0</v>
      </c>
      <c r="K50" s="37">
        <v>101</v>
      </c>
      <c r="L50" s="75">
        <v>24284</v>
      </c>
      <c r="M50" s="87" t="s">
        <v>85</v>
      </c>
      <c r="N50" t="s">
        <v>334</v>
      </c>
      <c r="O50" t="s">
        <v>343</v>
      </c>
    </row>
    <row r="51" spans="1:15" ht="12.75" x14ac:dyDescent="0.2">
      <c r="A51" t="s">
        <v>375</v>
      </c>
      <c r="B51" s="75">
        <v>207</v>
      </c>
      <c r="C51" s="75">
        <v>0</v>
      </c>
      <c r="D51" s="37">
        <v>207</v>
      </c>
      <c r="E51" s="37">
        <v>1684</v>
      </c>
      <c r="F51" s="37">
        <v>0</v>
      </c>
      <c r="G51" s="75">
        <v>0</v>
      </c>
      <c r="H51" s="37">
        <v>0</v>
      </c>
      <c r="I51" s="75">
        <v>0</v>
      </c>
      <c r="J51" s="37">
        <v>0</v>
      </c>
      <c r="K51" s="37">
        <v>0</v>
      </c>
      <c r="L51" s="75">
        <v>1891</v>
      </c>
      <c r="M51" s="87" t="s">
        <v>86</v>
      </c>
      <c r="N51" t="s">
        <v>337</v>
      </c>
      <c r="O51" t="s">
        <v>345</v>
      </c>
    </row>
    <row r="52" spans="1:15" ht="12.75" x14ac:dyDescent="0.2">
      <c r="A52" t="s">
        <v>88</v>
      </c>
      <c r="B52" s="75">
        <v>17579</v>
      </c>
      <c r="C52" s="75">
        <v>0</v>
      </c>
      <c r="D52" s="37">
        <v>17579</v>
      </c>
      <c r="E52" s="37">
        <v>85</v>
      </c>
      <c r="F52" s="37">
        <v>0</v>
      </c>
      <c r="G52" s="75">
        <v>0</v>
      </c>
      <c r="H52" s="37">
        <v>0</v>
      </c>
      <c r="I52" s="75">
        <v>0</v>
      </c>
      <c r="J52" s="37">
        <v>0</v>
      </c>
      <c r="K52" s="37">
        <v>12</v>
      </c>
      <c r="L52" s="75">
        <v>17676</v>
      </c>
      <c r="M52" s="87" t="s">
        <v>89</v>
      </c>
      <c r="N52" t="s">
        <v>340</v>
      </c>
      <c r="O52" t="s">
        <v>340</v>
      </c>
    </row>
    <row r="53" spans="1:15" ht="12.75" x14ac:dyDescent="0.2">
      <c r="A53" t="s">
        <v>90</v>
      </c>
      <c r="B53" s="75">
        <v>18439</v>
      </c>
      <c r="C53" s="75">
        <v>121</v>
      </c>
      <c r="D53" s="37">
        <v>18560</v>
      </c>
      <c r="E53" s="37">
        <v>329692</v>
      </c>
      <c r="F53" s="37">
        <v>0</v>
      </c>
      <c r="G53" s="75">
        <v>0</v>
      </c>
      <c r="H53" s="37">
        <v>0</v>
      </c>
      <c r="I53" s="75">
        <v>0</v>
      </c>
      <c r="J53" s="37">
        <v>0</v>
      </c>
      <c r="K53" s="37">
        <v>24563</v>
      </c>
      <c r="L53" s="75">
        <v>372815</v>
      </c>
      <c r="M53" s="87" t="s">
        <v>91</v>
      </c>
      <c r="N53" t="s">
        <v>337</v>
      </c>
      <c r="O53" t="s">
        <v>345</v>
      </c>
    </row>
    <row r="54" spans="1:15" ht="12.75" x14ac:dyDescent="0.2">
      <c r="A54" t="s">
        <v>92</v>
      </c>
      <c r="B54" s="75">
        <v>8</v>
      </c>
      <c r="C54" s="75">
        <v>0</v>
      </c>
      <c r="D54" s="37">
        <v>8</v>
      </c>
      <c r="E54" s="37">
        <v>0</v>
      </c>
      <c r="F54" s="37">
        <v>0</v>
      </c>
      <c r="G54" s="75">
        <v>0</v>
      </c>
      <c r="H54" s="37">
        <v>0</v>
      </c>
      <c r="I54" s="75">
        <v>0</v>
      </c>
      <c r="J54" s="37">
        <v>0</v>
      </c>
      <c r="K54" s="37">
        <v>0</v>
      </c>
      <c r="L54" s="75">
        <v>8</v>
      </c>
      <c r="M54" s="87" t="s">
        <v>93</v>
      </c>
      <c r="N54" t="s">
        <v>337</v>
      </c>
      <c r="O54" t="s">
        <v>346</v>
      </c>
    </row>
    <row r="55" spans="1:15" ht="12.75" x14ac:dyDescent="0.2">
      <c r="A55" t="s">
        <v>94</v>
      </c>
      <c r="B55" s="75">
        <v>5</v>
      </c>
      <c r="C55" s="75">
        <v>0</v>
      </c>
      <c r="D55" s="37">
        <v>5</v>
      </c>
      <c r="E55" s="37">
        <v>38</v>
      </c>
      <c r="F55" s="37">
        <v>0</v>
      </c>
      <c r="G55" s="75">
        <v>0</v>
      </c>
      <c r="H55" s="37">
        <v>0</v>
      </c>
      <c r="I55" s="75">
        <v>0</v>
      </c>
      <c r="J55" s="37">
        <v>0</v>
      </c>
      <c r="K55" s="37">
        <v>0</v>
      </c>
      <c r="L55" s="75">
        <v>43</v>
      </c>
      <c r="M55" s="87" t="s">
        <v>95</v>
      </c>
      <c r="N55" t="s">
        <v>340</v>
      </c>
      <c r="O55" t="s">
        <v>344</v>
      </c>
    </row>
    <row r="56" spans="1:15" ht="12.75" x14ac:dyDescent="0.2">
      <c r="A56" t="s">
        <v>96</v>
      </c>
      <c r="B56" s="75">
        <v>637</v>
      </c>
      <c r="C56" s="75">
        <v>0</v>
      </c>
      <c r="D56" s="37">
        <v>637</v>
      </c>
      <c r="E56" s="37">
        <v>176</v>
      </c>
      <c r="F56" s="37">
        <v>0</v>
      </c>
      <c r="G56" s="75">
        <v>0</v>
      </c>
      <c r="H56" s="37">
        <v>0</v>
      </c>
      <c r="I56" s="75">
        <v>0</v>
      </c>
      <c r="J56" s="37">
        <v>0</v>
      </c>
      <c r="K56" s="37">
        <v>0</v>
      </c>
      <c r="L56" s="75">
        <v>813</v>
      </c>
      <c r="M56" s="87" t="s">
        <v>97</v>
      </c>
      <c r="N56" t="s">
        <v>340</v>
      </c>
      <c r="O56" t="s">
        <v>340</v>
      </c>
    </row>
    <row r="57" spans="1:15" ht="12.75" x14ac:dyDescent="0.2">
      <c r="A57" t="s">
        <v>376</v>
      </c>
      <c r="B57" s="75">
        <v>25982</v>
      </c>
      <c r="C57" s="75">
        <v>12</v>
      </c>
      <c r="D57" s="37">
        <v>25994</v>
      </c>
      <c r="E57" s="37">
        <v>25948</v>
      </c>
      <c r="F57" s="37">
        <v>0</v>
      </c>
      <c r="G57" s="75">
        <v>27</v>
      </c>
      <c r="H57" s="37">
        <v>0</v>
      </c>
      <c r="I57" s="75">
        <v>0</v>
      </c>
      <c r="J57" s="37">
        <v>0</v>
      </c>
      <c r="K57" s="37">
        <v>27</v>
      </c>
      <c r="L57" s="75">
        <v>51996</v>
      </c>
      <c r="M57" s="87" t="s">
        <v>87</v>
      </c>
      <c r="N57" t="s">
        <v>335</v>
      </c>
      <c r="O57" t="s">
        <v>343</v>
      </c>
    </row>
    <row r="58" spans="1:15" ht="12.75" x14ac:dyDescent="0.2">
      <c r="A58" t="s">
        <v>377</v>
      </c>
      <c r="B58" s="75">
        <v>239</v>
      </c>
      <c r="C58" s="75">
        <v>0</v>
      </c>
      <c r="D58" s="37">
        <v>239</v>
      </c>
      <c r="E58" s="37">
        <v>96</v>
      </c>
      <c r="F58" s="37">
        <v>0</v>
      </c>
      <c r="G58" s="75">
        <v>0</v>
      </c>
      <c r="H58" s="37">
        <v>0</v>
      </c>
      <c r="I58" s="75">
        <v>0</v>
      </c>
      <c r="J58" s="37">
        <v>0</v>
      </c>
      <c r="K58" s="37">
        <v>0</v>
      </c>
      <c r="L58" s="75">
        <v>335</v>
      </c>
      <c r="M58" s="87" t="s">
        <v>378</v>
      </c>
      <c r="N58" t="s">
        <v>339</v>
      </c>
      <c r="O58" t="s">
        <v>344</v>
      </c>
    </row>
    <row r="59" spans="1:15" ht="12.75" x14ac:dyDescent="0.2">
      <c r="A59" t="s">
        <v>379</v>
      </c>
      <c r="B59" s="75">
        <v>978169</v>
      </c>
      <c r="C59" s="75">
        <v>40</v>
      </c>
      <c r="D59" s="37">
        <v>978209</v>
      </c>
      <c r="E59" s="37">
        <v>149805</v>
      </c>
      <c r="F59" s="37">
        <v>0</v>
      </c>
      <c r="G59" s="75">
        <v>1808</v>
      </c>
      <c r="H59" s="37">
        <v>6251790</v>
      </c>
      <c r="I59" s="75">
        <v>1833092</v>
      </c>
      <c r="J59" s="37">
        <v>0</v>
      </c>
      <c r="K59" s="37">
        <v>18475</v>
      </c>
      <c r="L59" s="75">
        <v>9233179</v>
      </c>
      <c r="M59" s="87" t="s">
        <v>98</v>
      </c>
      <c r="N59" t="s">
        <v>334</v>
      </c>
      <c r="O59" t="s">
        <v>343</v>
      </c>
    </row>
    <row r="60" spans="1:15" ht="12.75" x14ac:dyDescent="0.2">
      <c r="A60" t="s">
        <v>99</v>
      </c>
      <c r="B60" s="75">
        <v>0</v>
      </c>
      <c r="C60" s="75">
        <v>0</v>
      </c>
      <c r="D60" s="37">
        <v>0</v>
      </c>
      <c r="E60" s="37">
        <v>16</v>
      </c>
      <c r="F60" s="37">
        <v>0</v>
      </c>
      <c r="G60" s="75">
        <v>0</v>
      </c>
      <c r="H60" s="37">
        <v>0</v>
      </c>
      <c r="I60" s="75">
        <v>0</v>
      </c>
      <c r="J60" s="37">
        <v>0</v>
      </c>
      <c r="K60" s="37">
        <v>0</v>
      </c>
      <c r="L60" s="75">
        <v>16</v>
      </c>
      <c r="M60" s="87" t="s">
        <v>100</v>
      </c>
      <c r="N60" t="s">
        <v>340</v>
      </c>
      <c r="O60" t="s">
        <v>340</v>
      </c>
    </row>
    <row r="61" spans="1:15" ht="12.75" x14ac:dyDescent="0.2">
      <c r="A61" t="s">
        <v>101</v>
      </c>
      <c r="B61" s="75">
        <v>1840</v>
      </c>
      <c r="C61" s="75">
        <v>0</v>
      </c>
      <c r="D61" s="37">
        <v>1840</v>
      </c>
      <c r="E61" s="37">
        <v>1574</v>
      </c>
      <c r="F61" s="37">
        <v>0</v>
      </c>
      <c r="G61" s="75">
        <v>0</v>
      </c>
      <c r="H61" s="37">
        <v>0</v>
      </c>
      <c r="I61" s="75">
        <v>0</v>
      </c>
      <c r="J61" s="37">
        <v>0</v>
      </c>
      <c r="K61" s="37">
        <v>0</v>
      </c>
      <c r="L61" s="75">
        <v>3414</v>
      </c>
      <c r="M61" s="87" t="s">
        <v>102</v>
      </c>
      <c r="N61" t="s">
        <v>333</v>
      </c>
      <c r="O61" t="s">
        <v>343</v>
      </c>
    </row>
    <row r="62" spans="1:15" ht="12.75" x14ac:dyDescent="0.2">
      <c r="A62" t="s">
        <v>380</v>
      </c>
      <c r="B62" s="75">
        <v>73</v>
      </c>
      <c r="C62" s="75">
        <v>0</v>
      </c>
      <c r="D62" s="37">
        <v>73</v>
      </c>
      <c r="E62" s="37">
        <v>344</v>
      </c>
      <c r="F62" s="37">
        <v>0</v>
      </c>
      <c r="G62" s="75">
        <v>0</v>
      </c>
      <c r="H62" s="37">
        <v>0</v>
      </c>
      <c r="I62" s="75">
        <v>0</v>
      </c>
      <c r="J62" s="37">
        <v>0</v>
      </c>
      <c r="K62" s="37">
        <v>0</v>
      </c>
      <c r="L62" s="75">
        <v>417</v>
      </c>
      <c r="M62" s="87" t="s">
        <v>381</v>
      </c>
      <c r="N62" t="s">
        <v>337</v>
      </c>
      <c r="O62" t="s">
        <v>346</v>
      </c>
    </row>
    <row r="63" spans="1:15" ht="12.75" x14ac:dyDescent="0.2">
      <c r="A63" t="s">
        <v>382</v>
      </c>
      <c r="B63" s="75">
        <v>886</v>
      </c>
      <c r="C63" s="75">
        <v>0</v>
      </c>
      <c r="D63" s="37">
        <v>886</v>
      </c>
      <c r="E63" s="37">
        <v>10791</v>
      </c>
      <c r="F63" s="37">
        <v>0</v>
      </c>
      <c r="G63" s="75">
        <v>0</v>
      </c>
      <c r="H63" s="37">
        <v>0</v>
      </c>
      <c r="I63" s="75">
        <v>0</v>
      </c>
      <c r="J63" s="37">
        <v>0</v>
      </c>
      <c r="K63" s="37">
        <v>0</v>
      </c>
      <c r="L63" s="75">
        <v>11677</v>
      </c>
      <c r="M63" s="87" t="s">
        <v>103</v>
      </c>
      <c r="N63" t="s">
        <v>337</v>
      </c>
      <c r="O63" t="s">
        <v>346</v>
      </c>
    </row>
    <row r="64" spans="1:15" ht="12.75" x14ac:dyDescent="0.2">
      <c r="A64" t="s">
        <v>104</v>
      </c>
      <c r="B64" s="75">
        <v>4239</v>
      </c>
      <c r="C64" s="75">
        <v>5</v>
      </c>
      <c r="D64" s="37">
        <v>4244</v>
      </c>
      <c r="E64" s="37">
        <v>66416</v>
      </c>
      <c r="F64" s="37">
        <v>0</v>
      </c>
      <c r="G64" s="75">
        <v>0</v>
      </c>
      <c r="H64" s="37">
        <v>0</v>
      </c>
      <c r="I64" s="75">
        <v>0</v>
      </c>
      <c r="J64" s="37">
        <v>0</v>
      </c>
      <c r="K64" s="37">
        <v>25692</v>
      </c>
      <c r="L64" s="75">
        <v>96352</v>
      </c>
      <c r="M64" s="87" t="s">
        <v>105</v>
      </c>
      <c r="N64" t="s">
        <v>337</v>
      </c>
      <c r="O64" t="s">
        <v>345</v>
      </c>
    </row>
    <row r="65" spans="1:15" ht="12.75" x14ac:dyDescent="0.2">
      <c r="A65" t="s">
        <v>106</v>
      </c>
      <c r="B65" s="75">
        <v>23059</v>
      </c>
      <c r="C65" s="75">
        <v>101</v>
      </c>
      <c r="D65" s="37">
        <v>23160</v>
      </c>
      <c r="E65" s="37">
        <v>46356</v>
      </c>
      <c r="F65" s="37">
        <v>0</v>
      </c>
      <c r="G65" s="75">
        <v>0</v>
      </c>
      <c r="H65" s="37">
        <v>0</v>
      </c>
      <c r="I65" s="75">
        <v>0</v>
      </c>
      <c r="J65" s="37">
        <v>0</v>
      </c>
      <c r="K65" s="37">
        <v>273</v>
      </c>
      <c r="L65" s="75">
        <v>69789</v>
      </c>
      <c r="M65" s="87" t="s">
        <v>107</v>
      </c>
      <c r="N65" t="s">
        <v>341</v>
      </c>
      <c r="O65" t="s">
        <v>343</v>
      </c>
    </row>
    <row r="66" spans="1:15" ht="12.75" x14ac:dyDescent="0.2">
      <c r="A66" t="s">
        <v>108</v>
      </c>
      <c r="B66" s="75">
        <v>68633</v>
      </c>
      <c r="C66" s="75">
        <v>0</v>
      </c>
      <c r="D66" s="37">
        <v>68633</v>
      </c>
      <c r="E66" s="37">
        <v>133042</v>
      </c>
      <c r="F66" s="37">
        <v>0</v>
      </c>
      <c r="G66" s="75">
        <v>0</v>
      </c>
      <c r="H66" s="37">
        <v>71500</v>
      </c>
      <c r="I66" s="75">
        <v>0</v>
      </c>
      <c r="J66" s="37">
        <v>0</v>
      </c>
      <c r="K66" s="37">
        <v>132289</v>
      </c>
      <c r="L66" s="75">
        <v>405464</v>
      </c>
      <c r="M66" s="87" t="s">
        <v>109</v>
      </c>
      <c r="N66" t="s">
        <v>337</v>
      </c>
      <c r="O66" t="s">
        <v>345</v>
      </c>
    </row>
    <row r="67" spans="1:15" ht="12.75" x14ac:dyDescent="0.2">
      <c r="A67" t="s">
        <v>383</v>
      </c>
      <c r="B67" s="75">
        <v>389</v>
      </c>
      <c r="C67" s="75">
        <v>0</v>
      </c>
      <c r="D67" s="37">
        <v>389</v>
      </c>
      <c r="E67" s="37">
        <v>457</v>
      </c>
      <c r="F67" s="37">
        <v>0</v>
      </c>
      <c r="G67" s="75">
        <v>0</v>
      </c>
      <c r="H67" s="37">
        <v>0</v>
      </c>
      <c r="I67" s="75">
        <v>0</v>
      </c>
      <c r="J67" s="37">
        <v>0</v>
      </c>
      <c r="K67" s="37">
        <v>0</v>
      </c>
      <c r="L67" s="75">
        <v>846</v>
      </c>
      <c r="M67" s="87" t="s">
        <v>384</v>
      </c>
      <c r="N67" t="s">
        <v>335</v>
      </c>
      <c r="O67" t="s">
        <v>343</v>
      </c>
    </row>
    <row r="68" spans="1:15" ht="12.75" x14ac:dyDescent="0.2">
      <c r="A68" t="s">
        <v>110</v>
      </c>
      <c r="B68" s="75">
        <v>559853</v>
      </c>
      <c r="C68" s="75">
        <v>0</v>
      </c>
      <c r="D68" s="37">
        <v>559853</v>
      </c>
      <c r="E68" s="37">
        <v>104892</v>
      </c>
      <c r="F68" s="37">
        <v>0</v>
      </c>
      <c r="G68" s="75">
        <v>0</v>
      </c>
      <c r="H68" s="37">
        <v>0</v>
      </c>
      <c r="I68" s="75">
        <v>0</v>
      </c>
      <c r="J68" s="37">
        <v>0</v>
      </c>
      <c r="K68" s="37">
        <v>8470</v>
      </c>
      <c r="L68" s="75">
        <v>673215</v>
      </c>
      <c r="M68" s="87" t="s">
        <v>111</v>
      </c>
      <c r="N68" t="s">
        <v>333</v>
      </c>
      <c r="O68" t="s">
        <v>343</v>
      </c>
    </row>
    <row r="69" spans="1:15" ht="12.75" x14ac:dyDescent="0.2">
      <c r="A69" t="s">
        <v>385</v>
      </c>
      <c r="B69" s="75">
        <v>60</v>
      </c>
      <c r="C69" s="75">
        <v>0</v>
      </c>
      <c r="D69" s="37">
        <v>60</v>
      </c>
      <c r="E69" s="37">
        <v>58</v>
      </c>
      <c r="F69" s="37">
        <v>0</v>
      </c>
      <c r="G69" s="75">
        <v>0</v>
      </c>
      <c r="H69" s="37">
        <v>0</v>
      </c>
      <c r="I69" s="75">
        <v>0</v>
      </c>
      <c r="J69" s="37">
        <v>0</v>
      </c>
      <c r="K69" s="37">
        <v>0</v>
      </c>
      <c r="L69" s="75">
        <v>118</v>
      </c>
      <c r="M69" s="87" t="s">
        <v>112</v>
      </c>
      <c r="N69" t="s">
        <v>340</v>
      </c>
      <c r="O69" t="s">
        <v>340</v>
      </c>
    </row>
    <row r="70" spans="1:15" ht="12.75" x14ac:dyDescent="0.2">
      <c r="A70" t="s">
        <v>113</v>
      </c>
      <c r="B70" s="75">
        <v>128</v>
      </c>
      <c r="C70" s="75">
        <v>0</v>
      </c>
      <c r="D70" s="37">
        <v>128</v>
      </c>
      <c r="E70" s="37">
        <v>251</v>
      </c>
      <c r="F70" s="37">
        <v>0</v>
      </c>
      <c r="G70" s="75">
        <v>0</v>
      </c>
      <c r="H70" s="37">
        <v>0</v>
      </c>
      <c r="I70" s="75">
        <v>0</v>
      </c>
      <c r="J70" s="37">
        <v>0</v>
      </c>
      <c r="K70" s="37">
        <v>12</v>
      </c>
      <c r="L70" s="75">
        <v>391</v>
      </c>
      <c r="M70" s="87" t="s">
        <v>114</v>
      </c>
      <c r="N70" t="s">
        <v>334</v>
      </c>
      <c r="O70" t="s">
        <v>343</v>
      </c>
    </row>
    <row r="71" spans="1:15" ht="12.75" x14ac:dyDescent="0.2">
      <c r="A71" t="s">
        <v>115</v>
      </c>
      <c r="B71" s="75">
        <v>158338</v>
      </c>
      <c r="C71" s="75">
        <v>6</v>
      </c>
      <c r="D71" s="37">
        <v>158344</v>
      </c>
      <c r="E71" s="37">
        <v>139424</v>
      </c>
      <c r="F71" s="37">
        <v>0</v>
      </c>
      <c r="G71" s="75">
        <v>6187</v>
      </c>
      <c r="H71" s="37">
        <v>2561497</v>
      </c>
      <c r="I71" s="75">
        <v>534293</v>
      </c>
      <c r="J71" s="37">
        <v>0</v>
      </c>
      <c r="K71" s="37">
        <v>4791</v>
      </c>
      <c r="L71" s="75">
        <v>3404536</v>
      </c>
      <c r="M71" s="87" t="s">
        <v>116</v>
      </c>
      <c r="N71" t="s">
        <v>333</v>
      </c>
      <c r="O71" t="s">
        <v>343</v>
      </c>
    </row>
    <row r="72" spans="1:15" ht="12.75" x14ac:dyDescent="0.2">
      <c r="A72" t="s">
        <v>117</v>
      </c>
      <c r="B72" s="75">
        <v>207</v>
      </c>
      <c r="C72" s="75">
        <v>0</v>
      </c>
      <c r="D72" s="37">
        <v>207</v>
      </c>
      <c r="E72" s="37">
        <v>3017</v>
      </c>
      <c r="F72" s="37">
        <v>0</v>
      </c>
      <c r="G72" s="75">
        <v>0</v>
      </c>
      <c r="H72" s="37">
        <v>0</v>
      </c>
      <c r="I72" s="75">
        <v>0</v>
      </c>
      <c r="J72" s="37">
        <v>0</v>
      </c>
      <c r="K72" s="37">
        <v>0</v>
      </c>
      <c r="L72" s="75">
        <v>3224</v>
      </c>
      <c r="M72" s="87" t="s">
        <v>118</v>
      </c>
      <c r="N72" t="s">
        <v>339</v>
      </c>
      <c r="O72" t="s">
        <v>347</v>
      </c>
    </row>
    <row r="73" spans="1:15" ht="12.75" x14ac:dyDescent="0.2">
      <c r="A73" t="s">
        <v>119</v>
      </c>
      <c r="B73" s="75">
        <v>0</v>
      </c>
      <c r="C73" s="75">
        <v>0</v>
      </c>
      <c r="D73" s="37">
        <v>0</v>
      </c>
      <c r="E73" s="37">
        <v>46</v>
      </c>
      <c r="F73" s="37">
        <v>0</v>
      </c>
      <c r="G73" s="75">
        <v>0</v>
      </c>
      <c r="H73" s="37">
        <v>0</v>
      </c>
      <c r="I73" s="75">
        <v>0</v>
      </c>
      <c r="J73" s="37">
        <v>0</v>
      </c>
      <c r="K73" s="37">
        <v>0</v>
      </c>
      <c r="L73" s="75">
        <v>46</v>
      </c>
      <c r="M73" s="87" t="s">
        <v>120</v>
      </c>
      <c r="N73" t="s">
        <v>340</v>
      </c>
      <c r="O73" t="s">
        <v>340</v>
      </c>
    </row>
    <row r="74" spans="1:15" ht="12.75" x14ac:dyDescent="0.2">
      <c r="A74" t="s">
        <v>121</v>
      </c>
      <c r="B74" s="75">
        <v>50</v>
      </c>
      <c r="C74" s="75">
        <v>0</v>
      </c>
      <c r="D74" s="37">
        <v>50</v>
      </c>
      <c r="E74" s="37">
        <v>475</v>
      </c>
      <c r="F74" s="37">
        <v>0</v>
      </c>
      <c r="G74" s="75">
        <v>0</v>
      </c>
      <c r="H74" s="37">
        <v>0</v>
      </c>
      <c r="I74" s="75">
        <v>0</v>
      </c>
      <c r="J74" s="37">
        <v>0</v>
      </c>
      <c r="K74" s="37">
        <v>0</v>
      </c>
      <c r="L74" s="75">
        <v>525</v>
      </c>
      <c r="M74" s="87" t="s">
        <v>122</v>
      </c>
      <c r="N74" t="s">
        <v>340</v>
      </c>
      <c r="O74" t="s">
        <v>340</v>
      </c>
    </row>
    <row r="75" spans="1:15" ht="12.75" x14ac:dyDescent="0.2">
      <c r="A75" t="s">
        <v>386</v>
      </c>
      <c r="B75" s="75">
        <v>28</v>
      </c>
      <c r="C75" s="75">
        <v>0</v>
      </c>
      <c r="D75" s="37">
        <v>28</v>
      </c>
      <c r="E75" s="37">
        <v>396</v>
      </c>
      <c r="F75" s="37">
        <v>0</v>
      </c>
      <c r="G75" s="75">
        <v>0</v>
      </c>
      <c r="H75" s="37">
        <v>0</v>
      </c>
      <c r="I75" s="75">
        <v>0</v>
      </c>
      <c r="J75" s="37">
        <v>0</v>
      </c>
      <c r="K75" s="37">
        <v>0</v>
      </c>
      <c r="L75" s="75">
        <v>424</v>
      </c>
      <c r="M75" s="87" t="s">
        <v>387</v>
      </c>
      <c r="N75" t="s">
        <v>337</v>
      </c>
      <c r="O75" t="s">
        <v>346</v>
      </c>
    </row>
    <row r="76" spans="1:15" ht="12.75" x14ac:dyDescent="0.2">
      <c r="A76" t="s">
        <v>123</v>
      </c>
      <c r="B76" s="75">
        <v>866</v>
      </c>
      <c r="C76" s="75">
        <v>0</v>
      </c>
      <c r="D76" s="37">
        <v>866</v>
      </c>
      <c r="E76" s="37">
        <v>834</v>
      </c>
      <c r="F76" s="37">
        <v>0</v>
      </c>
      <c r="G76" s="75">
        <v>0</v>
      </c>
      <c r="H76" s="37">
        <v>0</v>
      </c>
      <c r="I76" s="75">
        <v>0</v>
      </c>
      <c r="J76" s="37">
        <v>0</v>
      </c>
      <c r="K76" s="37">
        <v>9</v>
      </c>
      <c r="L76" s="75">
        <v>1709</v>
      </c>
      <c r="M76" s="87" t="s">
        <v>124</v>
      </c>
      <c r="N76" t="s">
        <v>335</v>
      </c>
      <c r="O76" t="s">
        <v>343</v>
      </c>
    </row>
    <row r="77" spans="1:15" ht="12.75" x14ac:dyDescent="0.2">
      <c r="A77" t="s">
        <v>125</v>
      </c>
      <c r="B77" s="75">
        <v>8101</v>
      </c>
      <c r="C77" s="75">
        <v>6</v>
      </c>
      <c r="D77" s="37">
        <v>8107</v>
      </c>
      <c r="E77" s="37">
        <v>5744</v>
      </c>
      <c r="F77" s="37">
        <v>0</v>
      </c>
      <c r="G77" s="75">
        <v>0</v>
      </c>
      <c r="H77" s="37">
        <v>0</v>
      </c>
      <c r="I77" s="75">
        <v>0</v>
      </c>
      <c r="J77" s="37">
        <v>0</v>
      </c>
      <c r="K77" s="37">
        <v>5</v>
      </c>
      <c r="L77" s="75">
        <v>13856</v>
      </c>
      <c r="M77" s="87" t="s">
        <v>126</v>
      </c>
      <c r="N77" t="s">
        <v>335</v>
      </c>
      <c r="O77" t="s">
        <v>343</v>
      </c>
    </row>
    <row r="78" spans="1:15" ht="12.75" x14ac:dyDescent="0.2">
      <c r="A78" t="s">
        <v>127</v>
      </c>
      <c r="B78" s="75">
        <v>14433</v>
      </c>
      <c r="C78" s="75">
        <v>262</v>
      </c>
      <c r="D78" s="37">
        <v>14695</v>
      </c>
      <c r="E78" s="37">
        <v>38556</v>
      </c>
      <c r="F78" s="37">
        <v>0</v>
      </c>
      <c r="G78" s="75">
        <v>0</v>
      </c>
      <c r="H78" s="37">
        <v>295831</v>
      </c>
      <c r="I78" s="75">
        <v>0</v>
      </c>
      <c r="J78" s="37">
        <v>0</v>
      </c>
      <c r="K78" s="37">
        <v>0</v>
      </c>
      <c r="L78" s="75">
        <v>349082</v>
      </c>
      <c r="M78" s="87" t="s">
        <v>128</v>
      </c>
      <c r="N78" t="s">
        <v>340</v>
      </c>
      <c r="O78" t="s">
        <v>344</v>
      </c>
    </row>
    <row r="79" spans="1:15" ht="12.75" x14ac:dyDescent="0.2">
      <c r="A79" t="s">
        <v>129</v>
      </c>
      <c r="B79" s="75">
        <v>209</v>
      </c>
      <c r="C79" s="75">
        <v>0</v>
      </c>
      <c r="D79" s="37">
        <v>209</v>
      </c>
      <c r="E79" s="37">
        <v>762</v>
      </c>
      <c r="F79" s="37">
        <v>0</v>
      </c>
      <c r="G79" s="75">
        <v>0</v>
      </c>
      <c r="H79" s="37">
        <v>0</v>
      </c>
      <c r="I79" s="75">
        <v>0</v>
      </c>
      <c r="J79" s="37">
        <v>0</v>
      </c>
      <c r="K79" s="37">
        <v>0</v>
      </c>
      <c r="L79" s="75">
        <v>971</v>
      </c>
      <c r="M79" s="87" t="s">
        <v>130</v>
      </c>
      <c r="N79" t="s">
        <v>340</v>
      </c>
      <c r="O79" t="s">
        <v>340</v>
      </c>
    </row>
    <row r="80" spans="1:15" ht="12.75" x14ac:dyDescent="0.2">
      <c r="A80" t="s">
        <v>131</v>
      </c>
      <c r="B80" s="75">
        <v>13748</v>
      </c>
      <c r="C80" s="75">
        <v>122</v>
      </c>
      <c r="D80" s="37">
        <v>13870</v>
      </c>
      <c r="E80" s="37">
        <v>11066</v>
      </c>
      <c r="F80" s="37">
        <v>0</v>
      </c>
      <c r="G80" s="75">
        <v>0</v>
      </c>
      <c r="H80" s="37">
        <v>0</v>
      </c>
      <c r="I80" s="75">
        <v>0</v>
      </c>
      <c r="J80" s="37">
        <v>0</v>
      </c>
      <c r="K80" s="37">
        <v>25</v>
      </c>
      <c r="L80" s="75">
        <v>24961</v>
      </c>
      <c r="M80" s="87" t="s">
        <v>132</v>
      </c>
      <c r="N80" t="s">
        <v>335</v>
      </c>
      <c r="O80" t="s">
        <v>343</v>
      </c>
    </row>
    <row r="81" spans="1:15" ht="12.75" x14ac:dyDescent="0.2">
      <c r="A81" t="s">
        <v>133</v>
      </c>
      <c r="B81" s="75">
        <v>102</v>
      </c>
      <c r="C81" s="75">
        <v>0</v>
      </c>
      <c r="D81" s="37">
        <v>102</v>
      </c>
      <c r="E81" s="37">
        <v>219</v>
      </c>
      <c r="F81" s="37">
        <v>0</v>
      </c>
      <c r="G81" s="75">
        <v>0</v>
      </c>
      <c r="H81" s="37">
        <v>0</v>
      </c>
      <c r="I81" s="75">
        <v>0</v>
      </c>
      <c r="J81" s="37">
        <v>0</v>
      </c>
      <c r="K81" s="37">
        <v>0</v>
      </c>
      <c r="L81" s="75">
        <v>321</v>
      </c>
      <c r="M81" s="87" t="s">
        <v>134</v>
      </c>
      <c r="N81" t="s">
        <v>340</v>
      </c>
      <c r="O81" t="s">
        <v>340</v>
      </c>
    </row>
    <row r="82" spans="1:15" ht="12.75" x14ac:dyDescent="0.2">
      <c r="A82" t="s">
        <v>135</v>
      </c>
      <c r="B82" s="75">
        <v>70</v>
      </c>
      <c r="C82" s="75">
        <v>0</v>
      </c>
      <c r="D82" s="37">
        <v>70</v>
      </c>
      <c r="E82" s="37">
        <v>123</v>
      </c>
      <c r="F82" s="37">
        <v>0</v>
      </c>
      <c r="G82" s="75">
        <v>0</v>
      </c>
      <c r="H82" s="37">
        <v>0</v>
      </c>
      <c r="I82" s="75">
        <v>0</v>
      </c>
      <c r="J82" s="37">
        <v>0</v>
      </c>
      <c r="K82" s="37">
        <v>0</v>
      </c>
      <c r="L82" s="75">
        <v>193</v>
      </c>
      <c r="M82" s="87" t="s">
        <v>136</v>
      </c>
      <c r="N82" t="s">
        <v>337</v>
      </c>
      <c r="O82" t="s">
        <v>346</v>
      </c>
    </row>
    <row r="83" spans="1:15" ht="12.75" x14ac:dyDescent="0.2">
      <c r="A83" t="s">
        <v>388</v>
      </c>
      <c r="B83" s="75">
        <v>17</v>
      </c>
      <c r="C83" s="75">
        <v>0</v>
      </c>
      <c r="D83" s="37">
        <v>17</v>
      </c>
      <c r="E83" s="37">
        <v>80</v>
      </c>
      <c r="F83" s="37">
        <v>0</v>
      </c>
      <c r="G83" s="75">
        <v>0</v>
      </c>
      <c r="H83" s="37">
        <v>0</v>
      </c>
      <c r="I83" s="75">
        <v>0</v>
      </c>
      <c r="J83" s="37">
        <v>0</v>
      </c>
      <c r="K83" s="37">
        <v>0</v>
      </c>
      <c r="L83" s="75">
        <v>97</v>
      </c>
      <c r="M83" s="87" t="s">
        <v>389</v>
      </c>
      <c r="N83" t="s">
        <v>337</v>
      </c>
      <c r="O83" t="s">
        <v>346</v>
      </c>
    </row>
    <row r="84" spans="1:15" ht="12.75" x14ac:dyDescent="0.2">
      <c r="A84" t="s">
        <v>137</v>
      </c>
      <c r="B84" s="75">
        <v>34010</v>
      </c>
      <c r="C84" s="75">
        <v>0</v>
      </c>
      <c r="D84" s="37">
        <v>34010</v>
      </c>
      <c r="E84" s="37">
        <v>176035</v>
      </c>
      <c r="F84" s="37">
        <v>0</v>
      </c>
      <c r="G84" s="75">
        <v>0</v>
      </c>
      <c r="H84" s="37">
        <v>0</v>
      </c>
      <c r="I84" s="75">
        <v>0</v>
      </c>
      <c r="J84" s="37">
        <v>0</v>
      </c>
      <c r="K84" s="37">
        <v>121865</v>
      </c>
      <c r="L84" s="75">
        <v>331910</v>
      </c>
      <c r="M84" s="87" t="s">
        <v>138</v>
      </c>
      <c r="N84" t="s">
        <v>337</v>
      </c>
      <c r="O84" t="s">
        <v>345</v>
      </c>
    </row>
    <row r="85" spans="1:15" ht="12.75" x14ac:dyDescent="0.2">
      <c r="A85" t="s">
        <v>139</v>
      </c>
      <c r="B85" s="75">
        <v>38570</v>
      </c>
      <c r="C85" s="75">
        <v>15</v>
      </c>
      <c r="D85" s="37">
        <v>38585</v>
      </c>
      <c r="E85" s="37">
        <v>34513</v>
      </c>
      <c r="F85" s="37">
        <v>0</v>
      </c>
      <c r="G85" s="75">
        <v>0</v>
      </c>
      <c r="H85" s="37">
        <v>0</v>
      </c>
      <c r="I85" s="75">
        <v>0</v>
      </c>
      <c r="J85" s="37">
        <v>0</v>
      </c>
      <c r="K85" s="37">
        <v>5</v>
      </c>
      <c r="L85" s="75">
        <v>73103</v>
      </c>
      <c r="M85" s="87" t="s">
        <v>140</v>
      </c>
      <c r="N85" t="s">
        <v>335</v>
      </c>
      <c r="O85" t="s">
        <v>343</v>
      </c>
    </row>
    <row r="86" spans="1:15" ht="12.75" x14ac:dyDescent="0.2">
      <c r="A86" t="s">
        <v>141</v>
      </c>
      <c r="B86" s="75">
        <v>1859</v>
      </c>
      <c r="C86" s="75">
        <v>0</v>
      </c>
      <c r="D86" s="37">
        <v>1859</v>
      </c>
      <c r="E86" s="37">
        <v>1381</v>
      </c>
      <c r="F86" s="37">
        <v>0</v>
      </c>
      <c r="G86" s="75">
        <v>0</v>
      </c>
      <c r="H86" s="37">
        <v>0</v>
      </c>
      <c r="I86" s="75">
        <v>0</v>
      </c>
      <c r="J86" s="37">
        <v>0</v>
      </c>
      <c r="K86" s="37">
        <v>0</v>
      </c>
      <c r="L86" s="75">
        <v>3240</v>
      </c>
      <c r="M86" s="87" t="s">
        <v>142</v>
      </c>
      <c r="N86" t="s">
        <v>335</v>
      </c>
      <c r="O86" t="s">
        <v>343</v>
      </c>
    </row>
    <row r="87" spans="1:15" ht="12.75" x14ac:dyDescent="0.2">
      <c r="A87" t="s">
        <v>143</v>
      </c>
      <c r="B87" s="75">
        <v>248</v>
      </c>
      <c r="C87" s="75">
        <v>0</v>
      </c>
      <c r="D87" s="37">
        <v>248</v>
      </c>
      <c r="E87" s="37">
        <v>1265</v>
      </c>
      <c r="F87" s="37">
        <v>0</v>
      </c>
      <c r="G87" s="75">
        <v>0</v>
      </c>
      <c r="H87" s="37">
        <v>0</v>
      </c>
      <c r="I87" s="75">
        <v>0</v>
      </c>
      <c r="J87" s="37">
        <v>0</v>
      </c>
      <c r="K87" s="37">
        <v>0</v>
      </c>
      <c r="L87" s="75">
        <v>1513</v>
      </c>
      <c r="M87" s="87" t="s">
        <v>144</v>
      </c>
      <c r="N87" t="s">
        <v>337</v>
      </c>
      <c r="O87" t="s">
        <v>346</v>
      </c>
    </row>
    <row r="88" spans="1:15" ht="12.75" x14ac:dyDescent="0.2">
      <c r="A88" t="s">
        <v>390</v>
      </c>
      <c r="B88" s="75">
        <v>34776</v>
      </c>
      <c r="C88" s="75">
        <v>87363</v>
      </c>
      <c r="D88" s="37">
        <v>122139</v>
      </c>
      <c r="E88" s="37">
        <v>228443</v>
      </c>
      <c r="F88" s="37">
        <v>0</v>
      </c>
      <c r="G88" s="75">
        <v>0</v>
      </c>
      <c r="H88" s="37">
        <v>313901</v>
      </c>
      <c r="I88" s="75">
        <v>0</v>
      </c>
      <c r="J88" s="37">
        <v>0</v>
      </c>
      <c r="K88" s="37">
        <v>37009</v>
      </c>
      <c r="L88" s="75">
        <v>701492</v>
      </c>
      <c r="M88" s="87" t="s">
        <v>391</v>
      </c>
      <c r="N88" t="s">
        <v>337</v>
      </c>
      <c r="O88" t="s">
        <v>346</v>
      </c>
    </row>
    <row r="89" spans="1:15" ht="12.75" x14ac:dyDescent="0.2">
      <c r="A89" t="s">
        <v>145</v>
      </c>
      <c r="B89" s="75">
        <v>84363</v>
      </c>
      <c r="C89" s="75">
        <v>0</v>
      </c>
      <c r="D89" s="37">
        <v>84363</v>
      </c>
      <c r="E89" s="37">
        <v>216873</v>
      </c>
      <c r="F89" s="37">
        <v>0</v>
      </c>
      <c r="G89" s="75">
        <v>0</v>
      </c>
      <c r="H89" s="37">
        <v>247090</v>
      </c>
      <c r="I89" s="75">
        <v>0</v>
      </c>
      <c r="J89" s="37">
        <v>0</v>
      </c>
      <c r="K89" s="37">
        <v>50951</v>
      </c>
      <c r="L89" s="75">
        <v>599277</v>
      </c>
      <c r="M89" s="87" t="s">
        <v>146</v>
      </c>
      <c r="N89" t="s">
        <v>337</v>
      </c>
      <c r="O89" t="s">
        <v>345</v>
      </c>
    </row>
    <row r="90" spans="1:15" ht="12.75" x14ac:dyDescent="0.2">
      <c r="A90" t="s">
        <v>147</v>
      </c>
      <c r="B90" s="75">
        <v>2147</v>
      </c>
      <c r="C90" s="75">
        <v>0</v>
      </c>
      <c r="D90" s="37">
        <v>2147</v>
      </c>
      <c r="E90" s="37">
        <v>1249</v>
      </c>
      <c r="F90" s="37">
        <v>0</v>
      </c>
      <c r="G90" s="75">
        <v>0</v>
      </c>
      <c r="H90" s="37">
        <v>0</v>
      </c>
      <c r="I90" s="75">
        <v>0</v>
      </c>
      <c r="J90" s="37">
        <v>0</v>
      </c>
      <c r="K90" s="37">
        <v>0</v>
      </c>
      <c r="L90" s="75">
        <v>3396</v>
      </c>
      <c r="M90" s="87" t="s">
        <v>148</v>
      </c>
      <c r="N90" t="s">
        <v>340</v>
      </c>
      <c r="O90" t="s">
        <v>340</v>
      </c>
    </row>
    <row r="91" spans="1:15" ht="12.75" x14ac:dyDescent="0.2">
      <c r="A91" t="s">
        <v>149</v>
      </c>
      <c r="B91" s="75">
        <v>0</v>
      </c>
      <c r="C91" s="75">
        <v>0</v>
      </c>
      <c r="D91" s="37">
        <v>0</v>
      </c>
      <c r="E91" s="37">
        <v>5</v>
      </c>
      <c r="F91" s="37">
        <v>0</v>
      </c>
      <c r="G91" s="75">
        <v>0</v>
      </c>
      <c r="H91" s="37">
        <v>0</v>
      </c>
      <c r="I91" s="75">
        <v>0</v>
      </c>
      <c r="J91" s="37">
        <v>0</v>
      </c>
      <c r="K91" s="37">
        <v>0</v>
      </c>
      <c r="L91" s="75">
        <v>5</v>
      </c>
      <c r="M91" s="87" t="s">
        <v>150</v>
      </c>
      <c r="N91" t="s">
        <v>340</v>
      </c>
      <c r="O91" t="s">
        <v>340</v>
      </c>
    </row>
    <row r="92" spans="1:15" ht="12.75" x14ac:dyDescent="0.2">
      <c r="A92" t="s">
        <v>151</v>
      </c>
      <c r="B92" s="75">
        <v>25175</v>
      </c>
      <c r="C92" s="75">
        <v>144</v>
      </c>
      <c r="D92" s="37">
        <v>25319</v>
      </c>
      <c r="E92" s="37">
        <v>142607</v>
      </c>
      <c r="F92" s="37">
        <v>0</v>
      </c>
      <c r="G92" s="75">
        <v>0</v>
      </c>
      <c r="H92" s="37">
        <v>0</v>
      </c>
      <c r="I92" s="75">
        <v>0</v>
      </c>
      <c r="J92" s="37">
        <v>0</v>
      </c>
      <c r="K92" s="37">
        <v>240</v>
      </c>
      <c r="L92" s="75">
        <v>168166</v>
      </c>
      <c r="M92" s="87" t="s">
        <v>152</v>
      </c>
      <c r="N92" t="s">
        <v>339</v>
      </c>
      <c r="O92" t="s">
        <v>344</v>
      </c>
    </row>
    <row r="93" spans="1:15" ht="12.75" x14ac:dyDescent="0.2">
      <c r="A93" t="s">
        <v>392</v>
      </c>
      <c r="B93" s="75">
        <v>6743</v>
      </c>
      <c r="C93" s="75">
        <v>5013</v>
      </c>
      <c r="D93" s="37">
        <v>11756</v>
      </c>
      <c r="E93" s="37">
        <v>13311</v>
      </c>
      <c r="F93" s="37">
        <v>0</v>
      </c>
      <c r="G93" s="75">
        <v>5</v>
      </c>
      <c r="H93" s="37">
        <v>0</v>
      </c>
      <c r="I93" s="75">
        <v>0</v>
      </c>
      <c r="J93" s="37">
        <v>0</v>
      </c>
      <c r="K93" s="37">
        <v>990</v>
      </c>
      <c r="L93" s="75">
        <v>26062</v>
      </c>
      <c r="M93" s="87" t="s">
        <v>153</v>
      </c>
      <c r="N93" t="s">
        <v>339</v>
      </c>
      <c r="O93" t="s">
        <v>344</v>
      </c>
    </row>
    <row r="94" spans="1:15" ht="12.75" x14ac:dyDescent="0.2">
      <c r="A94" t="s">
        <v>393</v>
      </c>
      <c r="B94" s="75">
        <v>151545</v>
      </c>
      <c r="C94" s="75">
        <v>212</v>
      </c>
      <c r="D94" s="37">
        <v>151757</v>
      </c>
      <c r="E94" s="37">
        <v>63959</v>
      </c>
      <c r="F94" s="37">
        <v>0</v>
      </c>
      <c r="G94" s="75">
        <v>24</v>
      </c>
      <c r="H94" s="37">
        <v>0</v>
      </c>
      <c r="I94" s="75">
        <v>0</v>
      </c>
      <c r="J94" s="37">
        <v>0</v>
      </c>
      <c r="K94" s="37">
        <v>79</v>
      </c>
      <c r="L94" s="75">
        <v>215819</v>
      </c>
      <c r="M94" s="87" t="s">
        <v>154</v>
      </c>
      <c r="N94" t="s">
        <v>339</v>
      </c>
      <c r="O94" t="s">
        <v>344</v>
      </c>
    </row>
    <row r="95" spans="1:15" ht="12.75" x14ac:dyDescent="0.2">
      <c r="A95" t="s">
        <v>470</v>
      </c>
      <c r="B95" s="75">
        <v>328854</v>
      </c>
      <c r="C95" s="75">
        <v>178</v>
      </c>
      <c r="D95" s="37">
        <v>329032</v>
      </c>
      <c r="E95" s="37">
        <v>192202</v>
      </c>
      <c r="F95" s="37">
        <v>0</v>
      </c>
      <c r="G95" s="75">
        <v>154</v>
      </c>
      <c r="H95" s="37">
        <v>1123663</v>
      </c>
      <c r="I95" s="75">
        <v>27288</v>
      </c>
      <c r="J95" s="37">
        <v>0</v>
      </c>
      <c r="K95" s="37">
        <v>2032</v>
      </c>
      <c r="L95" s="75">
        <v>1674371</v>
      </c>
      <c r="M95" s="87" t="s">
        <v>155</v>
      </c>
      <c r="N95" t="s">
        <v>341</v>
      </c>
      <c r="O95" t="s">
        <v>344</v>
      </c>
    </row>
    <row r="96" spans="1:15" ht="12.75" x14ac:dyDescent="0.2">
      <c r="A96" t="s">
        <v>156</v>
      </c>
      <c r="B96" s="75">
        <v>0</v>
      </c>
      <c r="C96" s="75">
        <v>0</v>
      </c>
      <c r="D96" s="37">
        <v>0</v>
      </c>
      <c r="E96" s="37">
        <v>219</v>
      </c>
      <c r="F96" s="37">
        <v>0</v>
      </c>
      <c r="G96" s="75">
        <v>0</v>
      </c>
      <c r="H96" s="37">
        <v>0</v>
      </c>
      <c r="I96" s="75">
        <v>0</v>
      </c>
      <c r="J96" s="37">
        <v>0</v>
      </c>
      <c r="K96" s="37">
        <v>0</v>
      </c>
      <c r="L96" s="75">
        <v>219</v>
      </c>
      <c r="M96" s="87" t="s">
        <v>157</v>
      </c>
      <c r="N96" t="s">
        <v>340</v>
      </c>
      <c r="O96" t="s">
        <v>340</v>
      </c>
    </row>
    <row r="97" spans="1:15" ht="12.75" x14ac:dyDescent="0.2">
      <c r="A97" t="s">
        <v>158</v>
      </c>
      <c r="B97" s="75">
        <v>821</v>
      </c>
      <c r="C97" s="75">
        <v>34</v>
      </c>
      <c r="D97" s="37">
        <v>855</v>
      </c>
      <c r="E97" s="37">
        <v>1232</v>
      </c>
      <c r="F97" s="37">
        <v>0</v>
      </c>
      <c r="G97" s="75">
        <v>0</v>
      </c>
      <c r="H97" s="37">
        <v>0</v>
      </c>
      <c r="I97" s="75">
        <v>0</v>
      </c>
      <c r="J97" s="37">
        <v>0</v>
      </c>
      <c r="K97" s="37">
        <v>0</v>
      </c>
      <c r="L97" s="75">
        <v>2087</v>
      </c>
      <c r="M97" s="87" t="s">
        <v>159</v>
      </c>
      <c r="N97" t="s">
        <v>341</v>
      </c>
      <c r="O97" t="s">
        <v>344</v>
      </c>
    </row>
    <row r="98" spans="1:15" ht="12.75" x14ac:dyDescent="0.2">
      <c r="A98" t="s">
        <v>160</v>
      </c>
      <c r="B98" s="75">
        <v>124</v>
      </c>
      <c r="C98" s="75">
        <v>0</v>
      </c>
      <c r="D98" s="37">
        <v>124</v>
      </c>
      <c r="E98" s="37">
        <v>1487</v>
      </c>
      <c r="F98" s="37">
        <v>0</v>
      </c>
      <c r="G98" s="75">
        <v>0</v>
      </c>
      <c r="H98" s="37">
        <v>0</v>
      </c>
      <c r="I98" s="75">
        <v>0</v>
      </c>
      <c r="J98" s="37">
        <v>0</v>
      </c>
      <c r="K98" s="37">
        <v>0</v>
      </c>
      <c r="L98" s="75">
        <v>1611</v>
      </c>
      <c r="M98" s="87" t="s">
        <v>161</v>
      </c>
      <c r="N98" t="s">
        <v>340</v>
      </c>
      <c r="O98" t="s">
        <v>340</v>
      </c>
    </row>
    <row r="99" spans="1:15" ht="12.75" x14ac:dyDescent="0.2">
      <c r="A99" t="s">
        <v>162</v>
      </c>
      <c r="B99" s="75">
        <v>2128</v>
      </c>
      <c r="C99" s="75">
        <v>0</v>
      </c>
      <c r="D99" s="37">
        <v>2128</v>
      </c>
      <c r="E99" s="37">
        <v>7064</v>
      </c>
      <c r="F99" s="37">
        <v>0</v>
      </c>
      <c r="G99" s="75">
        <v>0</v>
      </c>
      <c r="H99" s="37">
        <v>0</v>
      </c>
      <c r="I99" s="75">
        <v>0</v>
      </c>
      <c r="J99" s="37">
        <v>0</v>
      </c>
      <c r="K99" s="37">
        <v>0</v>
      </c>
      <c r="L99" s="75">
        <v>9192</v>
      </c>
      <c r="M99" s="87" t="s">
        <v>163</v>
      </c>
      <c r="N99" t="s">
        <v>337</v>
      </c>
      <c r="O99" t="s">
        <v>346</v>
      </c>
    </row>
    <row r="100" spans="1:15" ht="12.75" x14ac:dyDescent="0.2">
      <c r="A100" t="s">
        <v>394</v>
      </c>
      <c r="B100" s="75">
        <v>48</v>
      </c>
      <c r="C100" s="75">
        <v>0</v>
      </c>
      <c r="D100" s="37">
        <v>48</v>
      </c>
      <c r="E100" s="37">
        <v>144</v>
      </c>
      <c r="F100" s="37">
        <v>0</v>
      </c>
      <c r="G100" s="75">
        <v>0</v>
      </c>
      <c r="H100" s="37">
        <v>0</v>
      </c>
      <c r="I100" s="75">
        <v>0</v>
      </c>
      <c r="J100" s="37">
        <v>0</v>
      </c>
      <c r="K100" s="37">
        <v>0</v>
      </c>
      <c r="L100" s="75">
        <v>192</v>
      </c>
      <c r="M100" s="87" t="s">
        <v>164</v>
      </c>
      <c r="N100" t="s">
        <v>339</v>
      </c>
      <c r="O100" t="s">
        <v>344</v>
      </c>
    </row>
    <row r="101" spans="1:15" ht="12.75" x14ac:dyDescent="0.2">
      <c r="A101" t="s">
        <v>395</v>
      </c>
      <c r="B101" s="75">
        <v>3935</v>
      </c>
      <c r="C101" s="75">
        <v>43</v>
      </c>
      <c r="D101" s="37">
        <v>3978</v>
      </c>
      <c r="E101" s="37">
        <v>8207</v>
      </c>
      <c r="F101" s="37">
        <v>0</v>
      </c>
      <c r="G101" s="75">
        <v>0</v>
      </c>
      <c r="H101" s="37">
        <v>0</v>
      </c>
      <c r="I101" s="75">
        <v>0</v>
      </c>
      <c r="J101" s="37">
        <v>0</v>
      </c>
      <c r="K101" s="37">
        <v>1267</v>
      </c>
      <c r="L101" s="75">
        <v>13452</v>
      </c>
      <c r="M101" s="87" t="s">
        <v>165</v>
      </c>
      <c r="N101" t="s">
        <v>341</v>
      </c>
      <c r="O101" t="s">
        <v>344</v>
      </c>
    </row>
    <row r="102" spans="1:15" ht="12.75" x14ac:dyDescent="0.2">
      <c r="A102" t="s">
        <v>166</v>
      </c>
      <c r="B102" s="75">
        <v>3777</v>
      </c>
      <c r="C102" s="75">
        <v>18</v>
      </c>
      <c r="D102" s="37">
        <v>3795</v>
      </c>
      <c r="E102" s="37">
        <v>11277</v>
      </c>
      <c r="F102" s="37">
        <v>0</v>
      </c>
      <c r="G102" s="75">
        <v>0</v>
      </c>
      <c r="H102" s="37">
        <v>0</v>
      </c>
      <c r="I102" s="75">
        <v>0</v>
      </c>
      <c r="J102" s="37">
        <v>0</v>
      </c>
      <c r="K102" s="37">
        <v>0</v>
      </c>
      <c r="L102" s="75">
        <v>15072</v>
      </c>
      <c r="M102" s="87" t="s">
        <v>167</v>
      </c>
      <c r="N102" t="s">
        <v>339</v>
      </c>
      <c r="O102" t="s">
        <v>344</v>
      </c>
    </row>
    <row r="103" spans="1:15" ht="12.75" x14ac:dyDescent="0.2">
      <c r="A103" t="s">
        <v>168</v>
      </c>
      <c r="B103" s="75">
        <v>8004</v>
      </c>
      <c r="C103" s="75">
        <v>0</v>
      </c>
      <c r="D103" s="37">
        <v>8004</v>
      </c>
      <c r="E103" s="37">
        <v>15941</v>
      </c>
      <c r="F103" s="37">
        <v>0</v>
      </c>
      <c r="G103" s="75">
        <v>0</v>
      </c>
      <c r="H103" s="37">
        <v>0</v>
      </c>
      <c r="I103" s="75">
        <v>0</v>
      </c>
      <c r="J103" s="37">
        <v>0</v>
      </c>
      <c r="K103" s="37">
        <v>10</v>
      </c>
      <c r="L103" s="75">
        <v>23955</v>
      </c>
      <c r="M103" s="87" t="s">
        <v>169</v>
      </c>
      <c r="N103" t="s">
        <v>333</v>
      </c>
      <c r="O103" t="s">
        <v>343</v>
      </c>
    </row>
    <row r="104" spans="1:15" ht="12.75" x14ac:dyDescent="0.2">
      <c r="A104" t="s">
        <v>396</v>
      </c>
      <c r="B104" s="75">
        <v>0</v>
      </c>
      <c r="C104" s="75">
        <v>0</v>
      </c>
      <c r="D104" s="37">
        <v>0</v>
      </c>
      <c r="E104" s="37">
        <v>27</v>
      </c>
      <c r="F104" s="37">
        <v>0</v>
      </c>
      <c r="G104" s="75">
        <v>0</v>
      </c>
      <c r="H104" s="37">
        <v>0</v>
      </c>
      <c r="I104" s="75">
        <v>0</v>
      </c>
      <c r="J104" s="37">
        <v>0</v>
      </c>
      <c r="K104" s="37">
        <v>0</v>
      </c>
      <c r="L104" s="75">
        <v>27</v>
      </c>
      <c r="M104" s="87" t="s">
        <v>397</v>
      </c>
      <c r="N104" t="s">
        <v>339</v>
      </c>
      <c r="O104" t="s">
        <v>347</v>
      </c>
    </row>
    <row r="105" spans="1:15" ht="12.75" x14ac:dyDescent="0.2">
      <c r="A105" t="s">
        <v>170</v>
      </c>
      <c r="B105" s="75">
        <v>2276</v>
      </c>
      <c r="C105" s="75">
        <v>0</v>
      </c>
      <c r="D105" s="37">
        <v>2276</v>
      </c>
      <c r="E105" s="37">
        <v>2458</v>
      </c>
      <c r="F105" s="37">
        <v>0</v>
      </c>
      <c r="G105" s="75">
        <v>0</v>
      </c>
      <c r="H105" s="37">
        <v>0</v>
      </c>
      <c r="I105" s="75">
        <v>0</v>
      </c>
      <c r="J105" s="37">
        <v>0</v>
      </c>
      <c r="K105" s="37">
        <v>10</v>
      </c>
      <c r="L105" s="75">
        <v>4744</v>
      </c>
      <c r="M105" s="87" t="s">
        <v>171</v>
      </c>
      <c r="N105" t="s">
        <v>341</v>
      </c>
      <c r="O105" t="s">
        <v>344</v>
      </c>
    </row>
    <row r="106" spans="1:15" ht="12.75" x14ac:dyDescent="0.2">
      <c r="A106" t="s">
        <v>172</v>
      </c>
      <c r="B106" s="75">
        <v>3305</v>
      </c>
      <c r="C106" s="75">
        <v>19</v>
      </c>
      <c r="D106" s="37">
        <v>3324</v>
      </c>
      <c r="E106" s="37">
        <v>8041</v>
      </c>
      <c r="F106" s="37">
        <v>0</v>
      </c>
      <c r="G106" s="75">
        <v>0</v>
      </c>
      <c r="H106" s="37">
        <v>0</v>
      </c>
      <c r="I106" s="75">
        <v>0</v>
      </c>
      <c r="J106" s="37">
        <v>0</v>
      </c>
      <c r="K106" s="37">
        <v>0</v>
      </c>
      <c r="L106" s="75">
        <v>11365</v>
      </c>
      <c r="M106" s="87" t="s">
        <v>173</v>
      </c>
      <c r="N106" t="s">
        <v>339</v>
      </c>
      <c r="O106" t="s">
        <v>344</v>
      </c>
    </row>
    <row r="107" spans="1:15" ht="12.75" x14ac:dyDescent="0.2">
      <c r="A107" t="s">
        <v>398</v>
      </c>
      <c r="B107" s="75">
        <v>6551</v>
      </c>
      <c r="C107" s="75">
        <v>0</v>
      </c>
      <c r="D107" s="37">
        <v>6551</v>
      </c>
      <c r="E107" s="37">
        <v>560</v>
      </c>
      <c r="F107" s="37">
        <v>0</v>
      </c>
      <c r="G107" s="75">
        <v>0</v>
      </c>
      <c r="H107" s="37">
        <v>0</v>
      </c>
      <c r="I107" s="75">
        <v>0</v>
      </c>
      <c r="J107" s="37">
        <v>0</v>
      </c>
      <c r="K107" s="37">
        <v>0</v>
      </c>
      <c r="L107" s="75">
        <v>7111</v>
      </c>
      <c r="M107" s="87" t="s">
        <v>399</v>
      </c>
      <c r="N107" t="s">
        <v>339</v>
      </c>
      <c r="O107" t="s">
        <v>344</v>
      </c>
    </row>
    <row r="108" spans="1:15" ht="12.75" x14ac:dyDescent="0.2">
      <c r="A108" t="s">
        <v>400</v>
      </c>
      <c r="B108" s="75">
        <v>138</v>
      </c>
      <c r="C108" s="75">
        <v>0</v>
      </c>
      <c r="D108" s="37">
        <v>138</v>
      </c>
      <c r="E108" s="37">
        <v>176</v>
      </c>
      <c r="F108" s="37">
        <v>0</v>
      </c>
      <c r="G108" s="75">
        <v>0</v>
      </c>
      <c r="H108" s="37">
        <v>0</v>
      </c>
      <c r="I108" s="75">
        <v>0</v>
      </c>
      <c r="J108" s="37">
        <v>0</v>
      </c>
      <c r="K108" s="37">
        <v>0</v>
      </c>
      <c r="L108" s="75">
        <v>314</v>
      </c>
      <c r="M108" s="87" t="s">
        <v>174</v>
      </c>
      <c r="N108" t="s">
        <v>340</v>
      </c>
      <c r="O108" t="s">
        <v>340</v>
      </c>
    </row>
    <row r="109" spans="1:15" ht="12.75" x14ac:dyDescent="0.2">
      <c r="A109" t="s">
        <v>175</v>
      </c>
      <c r="B109" s="75">
        <v>7336</v>
      </c>
      <c r="C109" s="75">
        <v>56</v>
      </c>
      <c r="D109" s="37">
        <v>7392</v>
      </c>
      <c r="E109" s="37">
        <v>9793</v>
      </c>
      <c r="F109" s="37">
        <v>0</v>
      </c>
      <c r="G109" s="75">
        <v>0</v>
      </c>
      <c r="H109" s="37">
        <v>0</v>
      </c>
      <c r="I109" s="75">
        <v>0</v>
      </c>
      <c r="J109" s="37">
        <v>0</v>
      </c>
      <c r="K109" s="37">
        <v>23915</v>
      </c>
      <c r="L109" s="75">
        <v>41100</v>
      </c>
      <c r="M109" s="87" t="s">
        <v>176</v>
      </c>
      <c r="N109" t="s">
        <v>341</v>
      </c>
      <c r="O109" t="s">
        <v>344</v>
      </c>
    </row>
    <row r="110" spans="1:15" ht="12.75" x14ac:dyDescent="0.2">
      <c r="A110" t="s">
        <v>177</v>
      </c>
      <c r="B110" s="75">
        <v>12</v>
      </c>
      <c r="C110" s="75">
        <v>0</v>
      </c>
      <c r="D110" s="37">
        <v>12</v>
      </c>
      <c r="E110" s="37">
        <v>41</v>
      </c>
      <c r="F110" s="37">
        <v>0</v>
      </c>
      <c r="G110" s="75">
        <v>0</v>
      </c>
      <c r="H110" s="37">
        <v>0</v>
      </c>
      <c r="I110" s="75">
        <v>0</v>
      </c>
      <c r="J110" s="37">
        <v>0</v>
      </c>
      <c r="K110" s="37">
        <v>6</v>
      </c>
      <c r="L110" s="75">
        <v>59</v>
      </c>
      <c r="M110" s="87" t="s">
        <v>178</v>
      </c>
      <c r="N110" t="s">
        <v>334</v>
      </c>
      <c r="O110" t="s">
        <v>343</v>
      </c>
    </row>
    <row r="111" spans="1:15" ht="12.75" x14ac:dyDescent="0.2">
      <c r="A111" t="s">
        <v>179</v>
      </c>
      <c r="B111" s="75">
        <v>4833</v>
      </c>
      <c r="C111" s="75">
        <v>5</v>
      </c>
      <c r="D111" s="37">
        <v>4838</v>
      </c>
      <c r="E111" s="37">
        <v>3904</v>
      </c>
      <c r="F111" s="37">
        <v>0</v>
      </c>
      <c r="G111" s="75">
        <v>0</v>
      </c>
      <c r="H111" s="37">
        <v>0</v>
      </c>
      <c r="I111" s="75">
        <v>0</v>
      </c>
      <c r="J111" s="37">
        <v>0</v>
      </c>
      <c r="K111" s="37">
        <v>200</v>
      </c>
      <c r="L111" s="75">
        <v>8942</v>
      </c>
      <c r="M111" s="87" t="s">
        <v>180</v>
      </c>
      <c r="N111" t="s">
        <v>335</v>
      </c>
      <c r="O111" t="s">
        <v>343</v>
      </c>
    </row>
    <row r="112" spans="1:15" ht="12.75" x14ac:dyDescent="0.2">
      <c r="A112" t="s">
        <v>181</v>
      </c>
      <c r="B112" s="75">
        <v>17906</v>
      </c>
      <c r="C112" s="75">
        <v>52</v>
      </c>
      <c r="D112" s="37">
        <v>17958</v>
      </c>
      <c r="E112" s="37">
        <v>6054</v>
      </c>
      <c r="F112" s="37">
        <v>0</v>
      </c>
      <c r="G112" s="75">
        <v>5</v>
      </c>
      <c r="H112" s="37">
        <v>125802</v>
      </c>
      <c r="I112" s="75">
        <v>37099</v>
      </c>
      <c r="J112" s="37">
        <v>0</v>
      </c>
      <c r="K112" s="37">
        <v>28</v>
      </c>
      <c r="L112" s="75">
        <v>186946</v>
      </c>
      <c r="M112" s="87" t="s">
        <v>182</v>
      </c>
      <c r="N112" t="s">
        <v>341</v>
      </c>
      <c r="O112" t="s">
        <v>343</v>
      </c>
    </row>
    <row r="113" spans="1:15" ht="12.75" x14ac:dyDescent="0.2">
      <c r="A113" t="s">
        <v>185</v>
      </c>
      <c r="B113" s="75">
        <v>63</v>
      </c>
      <c r="C113" s="75">
        <v>0</v>
      </c>
      <c r="D113" s="37">
        <v>63</v>
      </c>
      <c r="E113" s="37">
        <v>122</v>
      </c>
      <c r="F113" s="37">
        <v>0</v>
      </c>
      <c r="G113" s="75">
        <v>0</v>
      </c>
      <c r="H113" s="37">
        <v>0</v>
      </c>
      <c r="I113" s="75">
        <v>0</v>
      </c>
      <c r="J113" s="37">
        <v>0</v>
      </c>
      <c r="K113" s="37">
        <v>0</v>
      </c>
      <c r="L113" s="75">
        <v>185</v>
      </c>
      <c r="M113" s="87" t="s">
        <v>186</v>
      </c>
      <c r="N113" t="s">
        <v>340</v>
      </c>
      <c r="O113" t="s">
        <v>340</v>
      </c>
    </row>
    <row r="114" spans="1:15" ht="12.75" x14ac:dyDescent="0.2">
      <c r="A114" t="s">
        <v>187</v>
      </c>
      <c r="B114" s="75">
        <v>5</v>
      </c>
      <c r="C114" s="75">
        <v>0</v>
      </c>
      <c r="D114" s="37">
        <v>5</v>
      </c>
      <c r="E114" s="37">
        <v>0</v>
      </c>
      <c r="F114" s="37">
        <v>0</v>
      </c>
      <c r="G114" s="75">
        <v>0</v>
      </c>
      <c r="H114" s="37">
        <v>0</v>
      </c>
      <c r="I114" s="75">
        <v>0</v>
      </c>
      <c r="J114" s="37">
        <v>0</v>
      </c>
      <c r="K114" s="37">
        <v>0</v>
      </c>
      <c r="L114" s="75">
        <v>5</v>
      </c>
      <c r="M114" s="87" t="s">
        <v>188</v>
      </c>
      <c r="N114" t="s">
        <v>340</v>
      </c>
      <c r="O114" t="s">
        <v>340</v>
      </c>
    </row>
    <row r="115" spans="1:15" ht="12.75" x14ac:dyDescent="0.2">
      <c r="A115" t="s">
        <v>189</v>
      </c>
      <c r="B115" s="75">
        <v>558</v>
      </c>
      <c r="C115" s="75">
        <v>0</v>
      </c>
      <c r="D115" s="37">
        <v>558</v>
      </c>
      <c r="E115" s="37">
        <v>276</v>
      </c>
      <c r="F115" s="37">
        <v>0</v>
      </c>
      <c r="G115" s="75">
        <v>0</v>
      </c>
      <c r="H115" s="37">
        <v>0</v>
      </c>
      <c r="I115" s="75">
        <v>0</v>
      </c>
      <c r="J115" s="37">
        <v>0</v>
      </c>
      <c r="K115" s="37">
        <v>26</v>
      </c>
      <c r="L115" s="75">
        <v>860</v>
      </c>
      <c r="M115" s="87" t="s">
        <v>190</v>
      </c>
      <c r="N115" t="s">
        <v>334</v>
      </c>
      <c r="O115" t="s">
        <v>343</v>
      </c>
    </row>
    <row r="116" spans="1:15" ht="12.75" x14ac:dyDescent="0.2">
      <c r="A116" t="s">
        <v>191</v>
      </c>
      <c r="B116" s="75">
        <v>531</v>
      </c>
      <c r="C116" s="75">
        <v>0</v>
      </c>
      <c r="D116" s="37">
        <v>531</v>
      </c>
      <c r="E116" s="37">
        <v>1656</v>
      </c>
      <c r="F116" s="37">
        <v>0</v>
      </c>
      <c r="G116" s="75">
        <v>0</v>
      </c>
      <c r="H116" s="37">
        <v>0</v>
      </c>
      <c r="I116" s="75">
        <v>0</v>
      </c>
      <c r="J116" s="37">
        <v>0</v>
      </c>
      <c r="K116" s="37">
        <v>0</v>
      </c>
      <c r="L116" s="75">
        <v>2187</v>
      </c>
      <c r="M116" s="87" t="s">
        <v>192</v>
      </c>
      <c r="N116" t="s">
        <v>334</v>
      </c>
      <c r="O116" t="s">
        <v>343</v>
      </c>
    </row>
    <row r="117" spans="1:15" ht="12.75" x14ac:dyDescent="0.2">
      <c r="A117" t="s">
        <v>401</v>
      </c>
      <c r="B117" s="75">
        <v>999</v>
      </c>
      <c r="C117" s="75">
        <v>0</v>
      </c>
      <c r="D117" s="37">
        <v>999</v>
      </c>
      <c r="E117" s="37">
        <v>18810</v>
      </c>
      <c r="F117" s="37">
        <v>0</v>
      </c>
      <c r="G117" s="75">
        <v>0</v>
      </c>
      <c r="H117" s="37">
        <v>0</v>
      </c>
      <c r="I117" s="75">
        <v>0</v>
      </c>
      <c r="J117" s="37">
        <v>0</v>
      </c>
      <c r="K117" s="37">
        <v>0</v>
      </c>
      <c r="L117" s="75">
        <v>19809</v>
      </c>
      <c r="M117" s="87" t="s">
        <v>193</v>
      </c>
      <c r="N117" t="s">
        <v>339</v>
      </c>
      <c r="O117" t="s">
        <v>344</v>
      </c>
    </row>
    <row r="118" spans="1:15" ht="12.75" x14ac:dyDescent="0.2">
      <c r="A118" t="s">
        <v>402</v>
      </c>
      <c r="B118" s="75">
        <v>70</v>
      </c>
      <c r="C118" s="75">
        <v>0</v>
      </c>
      <c r="D118" s="37">
        <v>70</v>
      </c>
      <c r="E118" s="37">
        <v>27</v>
      </c>
      <c r="F118" s="37">
        <v>0</v>
      </c>
      <c r="G118" s="75">
        <v>0</v>
      </c>
      <c r="H118" s="37">
        <v>0</v>
      </c>
      <c r="I118" s="75">
        <v>0</v>
      </c>
      <c r="J118" s="37">
        <v>0</v>
      </c>
      <c r="K118" s="37">
        <v>0</v>
      </c>
      <c r="L118" s="75">
        <v>97</v>
      </c>
      <c r="M118" s="87" t="s">
        <v>403</v>
      </c>
      <c r="N118" t="s">
        <v>339</v>
      </c>
      <c r="O118" t="s">
        <v>344</v>
      </c>
    </row>
    <row r="119" spans="1:15" ht="12.75" x14ac:dyDescent="0.2">
      <c r="A119" t="s">
        <v>194</v>
      </c>
      <c r="B119" s="75">
        <v>248924</v>
      </c>
      <c r="C119" s="75">
        <v>122</v>
      </c>
      <c r="D119" s="37">
        <v>249046</v>
      </c>
      <c r="E119" s="37">
        <v>14117</v>
      </c>
      <c r="F119" s="37">
        <v>0</v>
      </c>
      <c r="G119" s="75">
        <v>574</v>
      </c>
      <c r="H119" s="37">
        <v>354739</v>
      </c>
      <c r="I119" s="75">
        <v>79763</v>
      </c>
      <c r="J119" s="37">
        <v>0</v>
      </c>
      <c r="K119" s="37">
        <v>10</v>
      </c>
      <c r="L119" s="75">
        <v>698249</v>
      </c>
      <c r="M119" s="87" t="s">
        <v>195</v>
      </c>
      <c r="N119" t="s">
        <v>335</v>
      </c>
      <c r="O119" t="s">
        <v>343</v>
      </c>
    </row>
    <row r="120" spans="1:15" ht="12.75" x14ac:dyDescent="0.2">
      <c r="A120" t="s">
        <v>196</v>
      </c>
      <c r="B120" s="75">
        <v>0</v>
      </c>
      <c r="C120" s="75">
        <v>0</v>
      </c>
      <c r="D120" s="37">
        <v>0</v>
      </c>
      <c r="E120" s="37">
        <v>6</v>
      </c>
      <c r="F120" s="37">
        <v>0</v>
      </c>
      <c r="G120" s="75">
        <v>0</v>
      </c>
      <c r="H120" s="37">
        <v>0</v>
      </c>
      <c r="I120" s="75">
        <v>0</v>
      </c>
      <c r="J120" s="37">
        <v>0</v>
      </c>
      <c r="K120" s="37">
        <v>0</v>
      </c>
      <c r="L120" s="75">
        <v>6</v>
      </c>
      <c r="M120" s="87" t="s">
        <v>197</v>
      </c>
      <c r="N120" t="s">
        <v>340</v>
      </c>
      <c r="O120" t="s">
        <v>340</v>
      </c>
    </row>
    <row r="121" spans="1:15" ht="12.75" x14ac:dyDescent="0.2">
      <c r="A121" t="s">
        <v>453</v>
      </c>
      <c r="B121" s="75">
        <v>0</v>
      </c>
      <c r="C121" s="75">
        <v>0</v>
      </c>
      <c r="D121" s="37">
        <v>0</v>
      </c>
      <c r="E121" s="37">
        <v>5</v>
      </c>
      <c r="F121" s="37">
        <v>0</v>
      </c>
      <c r="G121" s="75">
        <v>0</v>
      </c>
      <c r="H121" s="37">
        <v>0</v>
      </c>
      <c r="I121" s="75">
        <v>0</v>
      </c>
      <c r="J121" s="37">
        <v>0</v>
      </c>
      <c r="K121" s="37">
        <v>0</v>
      </c>
      <c r="L121" s="75">
        <v>5</v>
      </c>
      <c r="M121" s="87" t="s">
        <v>452</v>
      </c>
      <c r="N121" t="s">
        <v>339</v>
      </c>
      <c r="O121" t="s">
        <v>347</v>
      </c>
    </row>
    <row r="122" spans="1:15" ht="12.75" x14ac:dyDescent="0.2">
      <c r="A122" t="s">
        <v>455</v>
      </c>
      <c r="B122" s="75">
        <v>0</v>
      </c>
      <c r="C122" s="75">
        <v>0</v>
      </c>
      <c r="D122" s="37">
        <v>0</v>
      </c>
      <c r="E122" s="37">
        <v>5</v>
      </c>
      <c r="F122" s="37">
        <v>0</v>
      </c>
      <c r="G122" s="75">
        <v>0</v>
      </c>
      <c r="H122" s="37">
        <v>0</v>
      </c>
      <c r="I122" s="75">
        <v>0</v>
      </c>
      <c r="J122" s="37">
        <v>0</v>
      </c>
      <c r="K122" s="37">
        <v>0</v>
      </c>
      <c r="L122" s="75">
        <v>5</v>
      </c>
      <c r="M122" s="87" t="s">
        <v>454</v>
      </c>
      <c r="N122" t="s">
        <v>337</v>
      </c>
      <c r="O122" t="s">
        <v>346</v>
      </c>
    </row>
    <row r="123" spans="1:15" ht="12.75" x14ac:dyDescent="0.2">
      <c r="A123" t="s">
        <v>198</v>
      </c>
      <c r="B123" s="75">
        <v>37532</v>
      </c>
      <c r="C123" s="75">
        <v>0</v>
      </c>
      <c r="D123" s="37">
        <v>37532</v>
      </c>
      <c r="E123" s="37">
        <v>18772</v>
      </c>
      <c r="F123" s="37">
        <v>0</v>
      </c>
      <c r="G123" s="75">
        <v>0</v>
      </c>
      <c r="H123" s="37">
        <v>0</v>
      </c>
      <c r="I123" s="75">
        <v>0</v>
      </c>
      <c r="J123" s="37">
        <v>0</v>
      </c>
      <c r="K123" s="37">
        <v>0</v>
      </c>
      <c r="L123" s="75">
        <v>56304</v>
      </c>
      <c r="M123" s="87" t="s">
        <v>199</v>
      </c>
      <c r="N123" t="s">
        <v>341</v>
      </c>
      <c r="O123" t="s">
        <v>343</v>
      </c>
    </row>
    <row r="124" spans="1:15" ht="12.75" x14ac:dyDescent="0.2">
      <c r="A124" t="s">
        <v>404</v>
      </c>
      <c r="B124" s="75">
        <v>245</v>
      </c>
      <c r="C124" s="75">
        <v>0</v>
      </c>
      <c r="D124" s="37">
        <v>245</v>
      </c>
      <c r="E124" s="37">
        <v>549</v>
      </c>
      <c r="F124" s="37">
        <v>0</v>
      </c>
      <c r="G124" s="75">
        <v>0</v>
      </c>
      <c r="H124" s="37">
        <v>0</v>
      </c>
      <c r="I124" s="75">
        <v>0</v>
      </c>
      <c r="J124" s="37">
        <v>0</v>
      </c>
      <c r="K124" s="37">
        <v>0</v>
      </c>
      <c r="L124" s="75">
        <v>794</v>
      </c>
      <c r="M124" s="87" t="s">
        <v>405</v>
      </c>
      <c r="N124" t="s">
        <v>334</v>
      </c>
      <c r="O124" t="s">
        <v>343</v>
      </c>
    </row>
    <row r="125" spans="1:15" ht="12.75" x14ac:dyDescent="0.2">
      <c r="A125" t="s">
        <v>406</v>
      </c>
      <c r="B125" s="75">
        <v>21869</v>
      </c>
      <c r="C125" s="75">
        <v>0</v>
      </c>
      <c r="D125" s="37">
        <v>21869</v>
      </c>
      <c r="E125" s="37">
        <v>156309</v>
      </c>
      <c r="F125" s="37">
        <v>0</v>
      </c>
      <c r="G125" s="75">
        <v>0</v>
      </c>
      <c r="H125" s="37">
        <v>262411</v>
      </c>
      <c r="I125" s="75">
        <v>0</v>
      </c>
      <c r="J125" s="37">
        <v>0</v>
      </c>
      <c r="K125" s="37">
        <v>5</v>
      </c>
      <c r="L125" s="75">
        <v>440594</v>
      </c>
      <c r="M125" s="87" t="s">
        <v>200</v>
      </c>
      <c r="N125" t="s">
        <v>337</v>
      </c>
      <c r="O125" t="s">
        <v>345</v>
      </c>
    </row>
    <row r="126" spans="1:15" ht="12.75" x14ac:dyDescent="0.2">
      <c r="A126" t="s">
        <v>202</v>
      </c>
      <c r="B126" s="75">
        <v>2393</v>
      </c>
      <c r="C126" s="75">
        <v>0</v>
      </c>
      <c r="D126" s="37">
        <v>2393</v>
      </c>
      <c r="E126" s="37">
        <v>6327</v>
      </c>
      <c r="F126" s="37">
        <v>0</v>
      </c>
      <c r="G126" s="75">
        <v>0</v>
      </c>
      <c r="H126" s="37">
        <v>0</v>
      </c>
      <c r="I126" s="75">
        <v>0</v>
      </c>
      <c r="J126" s="37">
        <v>0</v>
      </c>
      <c r="K126" s="37">
        <v>5</v>
      </c>
      <c r="L126" s="75">
        <v>8725</v>
      </c>
      <c r="M126" s="87" t="s">
        <v>203</v>
      </c>
      <c r="N126" t="s">
        <v>339</v>
      </c>
      <c r="O126" t="s">
        <v>344</v>
      </c>
    </row>
    <row r="127" spans="1:15" ht="12.75" x14ac:dyDescent="0.2">
      <c r="A127" t="s">
        <v>204</v>
      </c>
      <c r="B127" s="75">
        <v>631</v>
      </c>
      <c r="C127" s="75">
        <v>0</v>
      </c>
      <c r="D127" s="37">
        <v>631</v>
      </c>
      <c r="E127" s="37">
        <v>1058</v>
      </c>
      <c r="F127" s="37">
        <v>0</v>
      </c>
      <c r="G127" s="75">
        <v>0</v>
      </c>
      <c r="H127" s="37">
        <v>0</v>
      </c>
      <c r="I127" s="75">
        <v>0</v>
      </c>
      <c r="J127" s="37">
        <v>0</v>
      </c>
      <c r="K127" s="37">
        <v>0</v>
      </c>
      <c r="L127" s="75">
        <v>1689</v>
      </c>
      <c r="M127" s="87" t="s">
        <v>205</v>
      </c>
      <c r="N127" t="s">
        <v>340</v>
      </c>
      <c r="O127" t="s">
        <v>340</v>
      </c>
    </row>
    <row r="128" spans="1:15" ht="12.75" x14ac:dyDescent="0.2">
      <c r="A128" t="s">
        <v>206</v>
      </c>
      <c r="B128" s="75">
        <v>8250</v>
      </c>
      <c r="C128" s="75">
        <v>577</v>
      </c>
      <c r="D128" s="37">
        <v>8827</v>
      </c>
      <c r="E128" s="37">
        <v>17328</v>
      </c>
      <c r="F128" s="37">
        <v>0</v>
      </c>
      <c r="G128" s="75">
        <v>0</v>
      </c>
      <c r="H128" s="37">
        <v>0</v>
      </c>
      <c r="I128" s="75">
        <v>0</v>
      </c>
      <c r="J128" s="37">
        <v>0</v>
      </c>
      <c r="K128" s="37">
        <v>880</v>
      </c>
      <c r="L128" s="75">
        <v>27035</v>
      </c>
      <c r="M128" s="87" t="s">
        <v>207</v>
      </c>
      <c r="N128" t="s">
        <v>341</v>
      </c>
      <c r="O128" t="s">
        <v>343</v>
      </c>
    </row>
    <row r="129" spans="1:15" ht="12.75" x14ac:dyDescent="0.2">
      <c r="A129" t="s">
        <v>208</v>
      </c>
      <c r="B129" s="75">
        <v>117</v>
      </c>
      <c r="C129" s="75">
        <v>0</v>
      </c>
      <c r="D129" s="37">
        <v>117</v>
      </c>
      <c r="E129" s="37">
        <v>8759</v>
      </c>
      <c r="F129" s="37">
        <v>0</v>
      </c>
      <c r="G129" s="75">
        <v>0</v>
      </c>
      <c r="H129" s="37">
        <v>582764</v>
      </c>
      <c r="I129" s="75">
        <v>280988</v>
      </c>
      <c r="J129" s="37">
        <v>0</v>
      </c>
      <c r="K129" s="37">
        <v>9</v>
      </c>
      <c r="L129" s="75">
        <v>872637</v>
      </c>
      <c r="M129" s="87" t="s">
        <v>209</v>
      </c>
      <c r="N129" t="s">
        <v>334</v>
      </c>
      <c r="O129" t="s">
        <v>343</v>
      </c>
    </row>
    <row r="130" spans="1:15" ht="12.75" x14ac:dyDescent="0.2">
      <c r="A130" t="s">
        <v>407</v>
      </c>
      <c r="B130" s="75">
        <v>1170365</v>
      </c>
      <c r="C130" s="75">
        <v>113061</v>
      </c>
      <c r="D130" s="37">
        <v>1283426</v>
      </c>
      <c r="E130" s="37">
        <v>54636</v>
      </c>
      <c r="F130" s="37">
        <v>0</v>
      </c>
      <c r="G130" s="75">
        <v>10</v>
      </c>
      <c r="H130" s="37">
        <v>2607645</v>
      </c>
      <c r="I130" s="75">
        <v>276612</v>
      </c>
      <c r="J130" s="37">
        <v>0</v>
      </c>
      <c r="K130" s="37">
        <v>584</v>
      </c>
      <c r="L130" s="75">
        <v>4222913</v>
      </c>
      <c r="M130" s="87" t="s">
        <v>210</v>
      </c>
      <c r="N130" t="s">
        <v>339</v>
      </c>
      <c r="O130" t="s">
        <v>344</v>
      </c>
    </row>
    <row r="131" spans="1:15" ht="12.75" x14ac:dyDescent="0.2">
      <c r="A131" t="s">
        <v>211</v>
      </c>
      <c r="B131" s="75">
        <v>447</v>
      </c>
      <c r="C131" s="75">
        <v>0</v>
      </c>
      <c r="D131" s="37">
        <v>447</v>
      </c>
      <c r="E131" s="37">
        <v>1603</v>
      </c>
      <c r="F131" s="37">
        <v>0</v>
      </c>
      <c r="G131" s="75">
        <v>0</v>
      </c>
      <c r="H131" s="37">
        <v>0</v>
      </c>
      <c r="I131" s="75">
        <v>0</v>
      </c>
      <c r="J131" s="37">
        <v>0</v>
      </c>
      <c r="K131" s="37">
        <v>45</v>
      </c>
      <c r="L131" s="75">
        <v>2095</v>
      </c>
      <c r="M131" s="87" t="s">
        <v>212</v>
      </c>
      <c r="N131" t="s">
        <v>334</v>
      </c>
      <c r="O131" t="s">
        <v>343</v>
      </c>
    </row>
    <row r="132" spans="1:15" ht="12.75" x14ac:dyDescent="0.2">
      <c r="A132" t="s">
        <v>213</v>
      </c>
      <c r="B132" s="75">
        <v>7</v>
      </c>
      <c r="C132" s="75">
        <v>0</v>
      </c>
      <c r="D132" s="37">
        <v>7</v>
      </c>
      <c r="E132" s="37">
        <v>16</v>
      </c>
      <c r="F132" s="37">
        <v>0</v>
      </c>
      <c r="G132" s="75">
        <v>0</v>
      </c>
      <c r="H132" s="37">
        <v>0</v>
      </c>
      <c r="I132" s="75">
        <v>0</v>
      </c>
      <c r="J132" s="37">
        <v>0</v>
      </c>
      <c r="K132" s="37">
        <v>0</v>
      </c>
      <c r="L132" s="75">
        <v>23</v>
      </c>
      <c r="M132" s="87" t="s">
        <v>214</v>
      </c>
      <c r="N132" t="s">
        <v>339</v>
      </c>
      <c r="O132" t="s">
        <v>347</v>
      </c>
    </row>
    <row r="133" spans="1:15" ht="12.75" x14ac:dyDescent="0.2">
      <c r="A133" t="s">
        <v>408</v>
      </c>
      <c r="B133" s="75">
        <v>7216</v>
      </c>
      <c r="C133" s="75">
        <v>13</v>
      </c>
      <c r="D133" s="37">
        <v>7229</v>
      </c>
      <c r="E133" s="37">
        <v>17206</v>
      </c>
      <c r="F133" s="37">
        <v>0</v>
      </c>
      <c r="G133" s="75">
        <v>0</v>
      </c>
      <c r="H133" s="37">
        <v>0</v>
      </c>
      <c r="I133" s="75">
        <v>0</v>
      </c>
      <c r="J133" s="37">
        <v>0</v>
      </c>
      <c r="K133" s="37">
        <v>356</v>
      </c>
      <c r="L133" s="75">
        <v>24791</v>
      </c>
      <c r="M133" s="87" t="s">
        <v>215</v>
      </c>
      <c r="N133" t="s">
        <v>339</v>
      </c>
      <c r="O133" t="s">
        <v>344</v>
      </c>
    </row>
    <row r="134" spans="1:15" ht="12.75" x14ac:dyDescent="0.2">
      <c r="A134" t="s">
        <v>409</v>
      </c>
      <c r="B134" s="75">
        <v>67</v>
      </c>
      <c r="C134" s="75">
        <v>0</v>
      </c>
      <c r="D134" s="37">
        <v>67</v>
      </c>
      <c r="E134" s="37">
        <v>199</v>
      </c>
      <c r="F134" s="37">
        <v>0</v>
      </c>
      <c r="G134" s="75">
        <v>0</v>
      </c>
      <c r="H134" s="37">
        <v>0</v>
      </c>
      <c r="I134" s="75">
        <v>0</v>
      </c>
      <c r="J134" s="37">
        <v>0</v>
      </c>
      <c r="K134" s="37">
        <v>0</v>
      </c>
      <c r="L134" s="75">
        <v>266</v>
      </c>
      <c r="M134" s="87" t="s">
        <v>216</v>
      </c>
      <c r="N134" t="s">
        <v>340</v>
      </c>
      <c r="O134" t="s">
        <v>340</v>
      </c>
    </row>
    <row r="135" spans="1:15" ht="12.75" x14ac:dyDescent="0.2">
      <c r="A135" t="s">
        <v>217</v>
      </c>
      <c r="B135" s="75">
        <v>39</v>
      </c>
      <c r="C135" s="75">
        <v>0</v>
      </c>
      <c r="D135" s="37">
        <v>39</v>
      </c>
      <c r="E135" s="37">
        <v>28</v>
      </c>
      <c r="F135" s="37">
        <v>0</v>
      </c>
      <c r="G135" s="75">
        <v>0</v>
      </c>
      <c r="H135" s="37">
        <v>0</v>
      </c>
      <c r="I135" s="75">
        <v>0</v>
      </c>
      <c r="J135" s="37">
        <v>0</v>
      </c>
      <c r="K135" s="37">
        <v>0</v>
      </c>
      <c r="L135" s="75">
        <v>67</v>
      </c>
      <c r="M135" s="87" t="s">
        <v>218</v>
      </c>
      <c r="N135" t="s">
        <v>339</v>
      </c>
      <c r="O135" t="s">
        <v>347</v>
      </c>
    </row>
    <row r="136" spans="1:15" ht="12.75" x14ac:dyDescent="0.2">
      <c r="A136" t="s">
        <v>219</v>
      </c>
      <c r="B136" s="75">
        <v>21850</v>
      </c>
      <c r="C136" s="75">
        <v>3633</v>
      </c>
      <c r="D136" s="37">
        <v>25483</v>
      </c>
      <c r="E136" s="37">
        <v>308032</v>
      </c>
      <c r="F136" s="37">
        <v>0</v>
      </c>
      <c r="G136" s="75">
        <v>0</v>
      </c>
      <c r="H136" s="37">
        <v>0</v>
      </c>
      <c r="I136" s="75">
        <v>0</v>
      </c>
      <c r="J136" s="37">
        <v>0</v>
      </c>
      <c r="K136" s="37">
        <v>4595</v>
      </c>
      <c r="L136" s="75">
        <v>338110</v>
      </c>
      <c r="M136" s="87" t="s">
        <v>220</v>
      </c>
      <c r="N136" t="s">
        <v>337</v>
      </c>
      <c r="O136" t="s">
        <v>345</v>
      </c>
    </row>
    <row r="137" spans="1:15" ht="12.75" x14ac:dyDescent="0.2">
      <c r="A137" t="s">
        <v>221</v>
      </c>
      <c r="B137" s="75">
        <v>24789</v>
      </c>
      <c r="C137" s="75">
        <v>5</v>
      </c>
      <c r="D137" s="37">
        <v>24794</v>
      </c>
      <c r="E137" s="37">
        <v>15517</v>
      </c>
      <c r="F137" s="37">
        <v>0</v>
      </c>
      <c r="G137" s="75">
        <v>0</v>
      </c>
      <c r="H137" s="37">
        <v>335277</v>
      </c>
      <c r="I137" s="75">
        <v>0</v>
      </c>
      <c r="J137" s="37">
        <v>0</v>
      </c>
      <c r="K137" s="37">
        <v>45415</v>
      </c>
      <c r="L137" s="75">
        <v>421003</v>
      </c>
      <c r="M137" s="87" t="s">
        <v>222</v>
      </c>
      <c r="N137" t="s">
        <v>335</v>
      </c>
      <c r="O137" t="s">
        <v>343</v>
      </c>
    </row>
    <row r="138" spans="1:15" ht="12.75" x14ac:dyDescent="0.2">
      <c r="A138" t="s">
        <v>223</v>
      </c>
      <c r="B138" s="75">
        <v>409642</v>
      </c>
      <c r="C138" s="75">
        <v>666</v>
      </c>
      <c r="D138" s="37">
        <v>410308</v>
      </c>
      <c r="E138" s="37">
        <v>68852</v>
      </c>
      <c r="F138" s="37">
        <v>0</v>
      </c>
      <c r="G138" s="75">
        <v>31747</v>
      </c>
      <c r="H138" s="37">
        <v>3313601</v>
      </c>
      <c r="I138" s="75">
        <v>35131</v>
      </c>
      <c r="J138" s="37">
        <v>0</v>
      </c>
      <c r="K138" s="37">
        <v>9</v>
      </c>
      <c r="L138" s="75">
        <v>3859648</v>
      </c>
      <c r="M138" s="87" t="s">
        <v>224</v>
      </c>
      <c r="N138" t="s">
        <v>335</v>
      </c>
      <c r="O138" t="s">
        <v>343</v>
      </c>
    </row>
    <row r="139" spans="1:15" ht="12.75" x14ac:dyDescent="0.2">
      <c r="A139" t="s">
        <v>410</v>
      </c>
      <c r="B139" s="75">
        <v>6</v>
      </c>
      <c r="C139" s="75">
        <v>0</v>
      </c>
      <c r="D139" s="37">
        <v>6</v>
      </c>
      <c r="E139" s="37">
        <v>5</v>
      </c>
      <c r="F139" s="37">
        <v>0</v>
      </c>
      <c r="G139" s="75">
        <v>0</v>
      </c>
      <c r="H139" s="37">
        <v>0</v>
      </c>
      <c r="I139" s="75">
        <v>0</v>
      </c>
      <c r="J139" s="37">
        <v>0</v>
      </c>
      <c r="K139" s="37">
        <v>0</v>
      </c>
      <c r="L139" s="75">
        <v>11</v>
      </c>
      <c r="M139" s="87" t="s">
        <v>411</v>
      </c>
      <c r="N139" t="s">
        <v>339</v>
      </c>
      <c r="O139" t="s">
        <v>347</v>
      </c>
    </row>
    <row r="140" spans="1:15" ht="12.75" x14ac:dyDescent="0.2">
      <c r="A140" t="s">
        <v>225</v>
      </c>
      <c r="B140" s="75">
        <v>1932</v>
      </c>
      <c r="C140" s="75">
        <v>6</v>
      </c>
      <c r="D140" s="37">
        <v>1938</v>
      </c>
      <c r="E140" s="37">
        <v>4689</v>
      </c>
      <c r="F140" s="37">
        <v>0</v>
      </c>
      <c r="G140" s="75">
        <v>0</v>
      </c>
      <c r="H140" s="37">
        <v>0</v>
      </c>
      <c r="I140" s="75">
        <v>0</v>
      </c>
      <c r="J140" s="37">
        <v>0</v>
      </c>
      <c r="K140" s="37">
        <v>5</v>
      </c>
      <c r="L140" s="75">
        <v>6632</v>
      </c>
      <c r="M140" s="87" t="s">
        <v>226</v>
      </c>
      <c r="N140" t="s">
        <v>340</v>
      </c>
      <c r="O140" t="s">
        <v>340</v>
      </c>
    </row>
    <row r="141" spans="1:15" ht="12.75" x14ac:dyDescent="0.2">
      <c r="A141" t="s">
        <v>227</v>
      </c>
      <c r="B141" s="75">
        <v>17</v>
      </c>
      <c r="C141" s="75">
        <v>0</v>
      </c>
      <c r="D141" s="37">
        <v>17</v>
      </c>
      <c r="E141" s="37">
        <v>19</v>
      </c>
      <c r="F141" s="37">
        <v>0</v>
      </c>
      <c r="G141" s="75">
        <v>0</v>
      </c>
      <c r="H141" s="37">
        <v>0</v>
      </c>
      <c r="I141" s="75">
        <v>0</v>
      </c>
      <c r="J141" s="37">
        <v>0</v>
      </c>
      <c r="K141" s="37">
        <v>0</v>
      </c>
      <c r="L141" s="75">
        <v>36</v>
      </c>
      <c r="M141" s="87" t="s">
        <v>228</v>
      </c>
      <c r="N141" t="s">
        <v>340</v>
      </c>
      <c r="O141" t="s">
        <v>340</v>
      </c>
    </row>
    <row r="142" spans="1:15" ht="12.75" x14ac:dyDescent="0.2">
      <c r="A142" t="s">
        <v>229</v>
      </c>
      <c r="B142" s="75">
        <v>95</v>
      </c>
      <c r="C142" s="75">
        <v>0</v>
      </c>
      <c r="D142" s="37">
        <v>95</v>
      </c>
      <c r="E142" s="37">
        <v>82</v>
      </c>
      <c r="F142" s="37">
        <v>0</v>
      </c>
      <c r="G142" s="75">
        <v>0</v>
      </c>
      <c r="H142" s="37">
        <v>0</v>
      </c>
      <c r="I142" s="75">
        <v>0</v>
      </c>
      <c r="J142" s="37">
        <v>0</v>
      </c>
      <c r="K142" s="37">
        <v>0</v>
      </c>
      <c r="L142" s="75">
        <v>177</v>
      </c>
      <c r="M142" s="87" t="s">
        <v>230</v>
      </c>
      <c r="N142" t="s">
        <v>341</v>
      </c>
      <c r="O142" t="s">
        <v>344</v>
      </c>
    </row>
    <row r="143" spans="1:15" ht="12.75" x14ac:dyDescent="0.2">
      <c r="A143" t="s">
        <v>412</v>
      </c>
      <c r="B143" s="75">
        <v>94371</v>
      </c>
      <c r="C143" s="75">
        <v>110</v>
      </c>
      <c r="D143" s="37">
        <v>94481</v>
      </c>
      <c r="E143" s="37">
        <v>72068</v>
      </c>
      <c r="F143" s="37">
        <v>0</v>
      </c>
      <c r="G143" s="75">
        <v>36</v>
      </c>
      <c r="H143" s="37">
        <v>0</v>
      </c>
      <c r="I143" s="75">
        <v>0</v>
      </c>
      <c r="J143" s="37">
        <v>0</v>
      </c>
      <c r="K143" s="37">
        <v>199</v>
      </c>
      <c r="L143" s="75">
        <v>166784</v>
      </c>
      <c r="M143" s="87" t="s">
        <v>231</v>
      </c>
      <c r="N143" t="s">
        <v>339</v>
      </c>
      <c r="O143" t="s">
        <v>344</v>
      </c>
    </row>
    <row r="144" spans="1:15" ht="12.75" x14ac:dyDescent="0.2">
      <c r="A144" t="s">
        <v>413</v>
      </c>
      <c r="B144" s="75">
        <v>5</v>
      </c>
      <c r="C144" s="75">
        <v>0</v>
      </c>
      <c r="D144" s="37">
        <v>5</v>
      </c>
      <c r="E144" s="37">
        <v>0</v>
      </c>
      <c r="F144" s="37">
        <v>0</v>
      </c>
      <c r="G144" s="75">
        <v>0</v>
      </c>
      <c r="H144" s="37">
        <v>0</v>
      </c>
      <c r="I144" s="75">
        <v>0</v>
      </c>
      <c r="J144" s="37">
        <v>0</v>
      </c>
      <c r="K144" s="37">
        <v>0</v>
      </c>
      <c r="L144" s="75">
        <v>5</v>
      </c>
      <c r="M144" s="87" t="s">
        <v>414</v>
      </c>
      <c r="N144" t="s">
        <v>339</v>
      </c>
      <c r="O144" t="s">
        <v>347</v>
      </c>
    </row>
    <row r="145" spans="1:15" ht="12.75" x14ac:dyDescent="0.2">
      <c r="A145" t="s">
        <v>471</v>
      </c>
      <c r="B145" s="75">
        <v>41047</v>
      </c>
      <c r="C145" s="75">
        <v>30</v>
      </c>
      <c r="D145" s="37">
        <v>41077</v>
      </c>
      <c r="E145" s="37">
        <v>12387</v>
      </c>
      <c r="F145" s="37">
        <v>0</v>
      </c>
      <c r="G145" s="75">
        <v>0</v>
      </c>
      <c r="H145" s="37">
        <v>0</v>
      </c>
      <c r="I145" s="75">
        <v>0</v>
      </c>
      <c r="J145" s="37">
        <v>0</v>
      </c>
      <c r="K145" s="37">
        <v>2866</v>
      </c>
      <c r="L145" s="75">
        <v>56330</v>
      </c>
      <c r="M145" s="87" t="s">
        <v>415</v>
      </c>
      <c r="N145" t="s">
        <v>341</v>
      </c>
      <c r="O145" t="s">
        <v>344</v>
      </c>
    </row>
    <row r="146" spans="1:15" ht="12.75" x14ac:dyDescent="0.2">
      <c r="A146" t="s">
        <v>232</v>
      </c>
      <c r="B146" s="75">
        <v>233</v>
      </c>
      <c r="C146" s="75">
        <v>0</v>
      </c>
      <c r="D146" s="37">
        <v>233</v>
      </c>
      <c r="E146" s="37">
        <v>1891</v>
      </c>
      <c r="F146" s="37">
        <v>0</v>
      </c>
      <c r="G146" s="75">
        <v>0</v>
      </c>
      <c r="H146" s="37">
        <v>0</v>
      </c>
      <c r="I146" s="75">
        <v>0</v>
      </c>
      <c r="J146" s="37">
        <v>0</v>
      </c>
      <c r="K146" s="37">
        <v>0</v>
      </c>
      <c r="L146" s="75">
        <v>2124</v>
      </c>
      <c r="M146" s="87" t="s">
        <v>233</v>
      </c>
      <c r="N146" t="s">
        <v>337</v>
      </c>
      <c r="O146" t="s">
        <v>345</v>
      </c>
    </row>
    <row r="147" spans="1:15" ht="12.75" x14ac:dyDescent="0.2">
      <c r="A147" t="s">
        <v>234</v>
      </c>
      <c r="B147" s="75">
        <v>452</v>
      </c>
      <c r="C147" s="75">
        <v>0</v>
      </c>
      <c r="D147" s="37">
        <v>452</v>
      </c>
      <c r="E147" s="37">
        <v>719</v>
      </c>
      <c r="F147" s="37">
        <v>0</v>
      </c>
      <c r="G147" s="75">
        <v>0</v>
      </c>
      <c r="H147" s="37">
        <v>95000</v>
      </c>
      <c r="I147" s="75">
        <v>0</v>
      </c>
      <c r="J147" s="37">
        <v>0</v>
      </c>
      <c r="K147" s="37">
        <v>1736</v>
      </c>
      <c r="L147" s="75">
        <v>97907</v>
      </c>
      <c r="M147" s="87" t="s">
        <v>235</v>
      </c>
      <c r="N147" t="s">
        <v>339</v>
      </c>
      <c r="O147" t="s">
        <v>347</v>
      </c>
    </row>
    <row r="148" spans="1:15" ht="12.75" x14ac:dyDescent="0.2">
      <c r="A148" t="s">
        <v>236</v>
      </c>
      <c r="B148" s="75">
        <v>155</v>
      </c>
      <c r="C148" s="75">
        <v>0</v>
      </c>
      <c r="D148" s="37">
        <v>155</v>
      </c>
      <c r="E148" s="37">
        <v>1987</v>
      </c>
      <c r="F148" s="37">
        <v>0</v>
      </c>
      <c r="G148" s="75">
        <v>0</v>
      </c>
      <c r="H148" s="37">
        <v>0</v>
      </c>
      <c r="I148" s="75">
        <v>0</v>
      </c>
      <c r="J148" s="37">
        <v>0</v>
      </c>
      <c r="K148" s="37">
        <v>0</v>
      </c>
      <c r="L148" s="75">
        <v>2142</v>
      </c>
      <c r="M148" s="87" t="s">
        <v>237</v>
      </c>
      <c r="N148" t="s">
        <v>337</v>
      </c>
      <c r="O148" t="s">
        <v>345</v>
      </c>
    </row>
    <row r="149" spans="1:15" ht="12.75" x14ac:dyDescent="0.2">
      <c r="A149" t="s">
        <v>238</v>
      </c>
      <c r="B149" s="75">
        <v>4724</v>
      </c>
      <c r="C149" s="75">
        <v>0</v>
      </c>
      <c r="D149" s="37">
        <v>4724</v>
      </c>
      <c r="E149" s="37">
        <v>80153</v>
      </c>
      <c r="F149" s="37">
        <v>0</v>
      </c>
      <c r="G149" s="75">
        <v>0</v>
      </c>
      <c r="H149" s="37">
        <v>0</v>
      </c>
      <c r="I149" s="75">
        <v>0</v>
      </c>
      <c r="J149" s="37">
        <v>0</v>
      </c>
      <c r="K149" s="37">
        <v>0</v>
      </c>
      <c r="L149" s="75">
        <v>84877</v>
      </c>
      <c r="M149" s="87" t="s">
        <v>239</v>
      </c>
      <c r="N149" t="s">
        <v>337</v>
      </c>
      <c r="O149" t="s">
        <v>345</v>
      </c>
    </row>
    <row r="150" spans="1:15" ht="12.75" x14ac:dyDescent="0.2">
      <c r="A150" t="s">
        <v>240</v>
      </c>
      <c r="B150" s="75">
        <v>630</v>
      </c>
      <c r="C150" s="75">
        <v>15</v>
      </c>
      <c r="D150" s="37">
        <v>645</v>
      </c>
      <c r="E150" s="37">
        <v>4670</v>
      </c>
      <c r="F150" s="37">
        <v>0</v>
      </c>
      <c r="G150" s="75">
        <v>0</v>
      </c>
      <c r="H150" s="37">
        <v>108237</v>
      </c>
      <c r="I150" s="75">
        <v>137352</v>
      </c>
      <c r="J150" s="37">
        <v>0</v>
      </c>
      <c r="K150" s="37">
        <v>181243</v>
      </c>
      <c r="L150" s="75">
        <v>432147</v>
      </c>
      <c r="M150" s="87" t="s">
        <v>241</v>
      </c>
      <c r="N150" t="s">
        <v>339</v>
      </c>
      <c r="O150" t="s">
        <v>344</v>
      </c>
    </row>
    <row r="151" spans="1:15" ht="12.75" x14ac:dyDescent="0.2">
      <c r="A151" t="s">
        <v>242</v>
      </c>
      <c r="B151" s="75">
        <v>932</v>
      </c>
      <c r="C151" s="75">
        <v>0</v>
      </c>
      <c r="D151" s="37">
        <v>932</v>
      </c>
      <c r="E151" s="37">
        <v>1050</v>
      </c>
      <c r="F151" s="37">
        <v>0</v>
      </c>
      <c r="G151" s="75">
        <v>0</v>
      </c>
      <c r="H151" s="37">
        <v>0</v>
      </c>
      <c r="I151" s="75">
        <v>0</v>
      </c>
      <c r="J151" s="37">
        <v>0</v>
      </c>
      <c r="K151" s="37">
        <v>0</v>
      </c>
      <c r="L151" s="75">
        <v>1982</v>
      </c>
      <c r="M151" s="87" t="s">
        <v>243</v>
      </c>
      <c r="N151" t="s">
        <v>340</v>
      </c>
      <c r="O151" t="s">
        <v>340</v>
      </c>
    </row>
    <row r="152" spans="1:15" ht="12.75" x14ac:dyDescent="0.2">
      <c r="A152" t="s">
        <v>244</v>
      </c>
      <c r="B152" s="75">
        <v>45</v>
      </c>
      <c r="C152" s="75">
        <v>0</v>
      </c>
      <c r="D152" s="37">
        <v>45</v>
      </c>
      <c r="E152" s="37">
        <v>979</v>
      </c>
      <c r="F152" s="37">
        <v>0</v>
      </c>
      <c r="G152" s="75">
        <v>0</v>
      </c>
      <c r="H152" s="37">
        <v>0</v>
      </c>
      <c r="I152" s="75">
        <v>0</v>
      </c>
      <c r="J152" s="37">
        <v>0</v>
      </c>
      <c r="K152" s="37">
        <v>0</v>
      </c>
      <c r="L152" s="75">
        <v>1024</v>
      </c>
      <c r="M152" s="87" t="s">
        <v>245</v>
      </c>
      <c r="N152" t="s">
        <v>340</v>
      </c>
      <c r="O152" t="s">
        <v>340</v>
      </c>
    </row>
    <row r="153" spans="1:15" ht="12.75" x14ac:dyDescent="0.2">
      <c r="A153" t="s">
        <v>458</v>
      </c>
      <c r="B153" s="75">
        <v>0</v>
      </c>
      <c r="C153" s="75">
        <v>0</v>
      </c>
      <c r="D153" s="37">
        <v>0</v>
      </c>
      <c r="E153" s="37">
        <v>5</v>
      </c>
      <c r="F153" s="37">
        <v>0</v>
      </c>
      <c r="G153" s="75">
        <v>0</v>
      </c>
      <c r="H153" s="37">
        <v>0</v>
      </c>
      <c r="I153" s="75">
        <v>0</v>
      </c>
      <c r="J153" s="37">
        <v>0</v>
      </c>
      <c r="K153" s="37">
        <v>0</v>
      </c>
      <c r="L153" s="75">
        <v>5</v>
      </c>
      <c r="M153" s="87" t="s">
        <v>457</v>
      </c>
      <c r="N153" t="s">
        <v>337</v>
      </c>
      <c r="O153" t="s">
        <v>346</v>
      </c>
    </row>
    <row r="154" spans="1:15" ht="12.75" x14ac:dyDescent="0.2">
      <c r="A154" t="s">
        <v>246</v>
      </c>
      <c r="B154" s="75">
        <v>58</v>
      </c>
      <c r="C154" s="75">
        <v>0</v>
      </c>
      <c r="D154" s="37">
        <v>58</v>
      </c>
      <c r="E154" s="37">
        <v>58</v>
      </c>
      <c r="F154" s="37">
        <v>0</v>
      </c>
      <c r="G154" s="75">
        <v>0</v>
      </c>
      <c r="H154" s="37">
        <v>0</v>
      </c>
      <c r="I154" s="75">
        <v>0</v>
      </c>
      <c r="J154" s="37">
        <v>0</v>
      </c>
      <c r="K154" s="37">
        <v>0</v>
      </c>
      <c r="L154" s="75">
        <v>116</v>
      </c>
      <c r="M154" s="87" t="s">
        <v>247</v>
      </c>
      <c r="N154" t="s">
        <v>341</v>
      </c>
      <c r="O154" t="s">
        <v>344</v>
      </c>
    </row>
    <row r="155" spans="1:15" ht="12.75" x14ac:dyDescent="0.2">
      <c r="A155" t="s">
        <v>248</v>
      </c>
      <c r="B155" s="75">
        <v>107</v>
      </c>
      <c r="C155" s="75">
        <v>0</v>
      </c>
      <c r="D155" s="37">
        <v>107</v>
      </c>
      <c r="E155" s="37">
        <v>939</v>
      </c>
      <c r="F155" s="37">
        <v>0</v>
      </c>
      <c r="G155" s="75">
        <v>0</v>
      </c>
      <c r="H155" s="37">
        <v>0</v>
      </c>
      <c r="I155" s="75">
        <v>0</v>
      </c>
      <c r="J155" s="37">
        <v>0</v>
      </c>
      <c r="K155" s="37">
        <v>0</v>
      </c>
      <c r="L155" s="75">
        <v>1046</v>
      </c>
      <c r="M155" s="87" t="s">
        <v>249</v>
      </c>
      <c r="N155" t="s">
        <v>339</v>
      </c>
      <c r="O155" t="s">
        <v>344</v>
      </c>
    </row>
    <row r="156" spans="1:15" ht="12.75" x14ac:dyDescent="0.2">
      <c r="A156" t="s">
        <v>250</v>
      </c>
      <c r="B156" s="75">
        <v>5161</v>
      </c>
      <c r="C156" s="75">
        <v>182</v>
      </c>
      <c r="D156" s="37">
        <v>5343</v>
      </c>
      <c r="E156" s="37">
        <v>6410</v>
      </c>
      <c r="F156" s="37">
        <v>0</v>
      </c>
      <c r="G156" s="75">
        <v>0</v>
      </c>
      <c r="H156" s="37">
        <v>0</v>
      </c>
      <c r="I156" s="75">
        <v>0</v>
      </c>
      <c r="J156" s="37">
        <v>0</v>
      </c>
      <c r="K156" s="37">
        <v>5</v>
      </c>
      <c r="L156" s="75">
        <v>11758</v>
      </c>
      <c r="M156" s="87" t="s">
        <v>251</v>
      </c>
      <c r="N156" t="s">
        <v>340</v>
      </c>
      <c r="O156" t="s">
        <v>340</v>
      </c>
    </row>
    <row r="157" spans="1:15" ht="12.75" x14ac:dyDescent="0.2">
      <c r="A157" t="s">
        <v>252</v>
      </c>
      <c r="B157" s="75">
        <v>1825</v>
      </c>
      <c r="C157" s="75">
        <v>0</v>
      </c>
      <c r="D157" s="37">
        <v>1825</v>
      </c>
      <c r="E157" s="37">
        <v>7383</v>
      </c>
      <c r="F157" s="37">
        <v>0</v>
      </c>
      <c r="G157" s="75">
        <v>0</v>
      </c>
      <c r="H157" s="37">
        <v>0</v>
      </c>
      <c r="I157" s="75">
        <v>0</v>
      </c>
      <c r="J157" s="37">
        <v>0</v>
      </c>
      <c r="K157" s="37">
        <v>0</v>
      </c>
      <c r="L157" s="75">
        <v>9208</v>
      </c>
      <c r="M157" s="87" t="s">
        <v>253</v>
      </c>
      <c r="N157" t="s">
        <v>340</v>
      </c>
      <c r="O157" t="s">
        <v>340</v>
      </c>
    </row>
    <row r="158" spans="1:15" ht="12.75" x14ac:dyDescent="0.2">
      <c r="A158" t="s">
        <v>416</v>
      </c>
      <c r="B158" s="75">
        <v>85731</v>
      </c>
      <c r="C158" s="75">
        <v>404</v>
      </c>
      <c r="D158" s="37">
        <v>86135</v>
      </c>
      <c r="E158" s="37">
        <v>114669</v>
      </c>
      <c r="F158" s="37">
        <v>0</v>
      </c>
      <c r="G158" s="75">
        <v>5</v>
      </c>
      <c r="H158" s="37">
        <v>0</v>
      </c>
      <c r="I158" s="75">
        <v>0</v>
      </c>
      <c r="J158" s="37">
        <v>0</v>
      </c>
      <c r="K158" s="37">
        <v>1253</v>
      </c>
      <c r="L158" s="75">
        <v>202062</v>
      </c>
      <c r="M158" s="87" t="s">
        <v>254</v>
      </c>
      <c r="N158" t="s">
        <v>340</v>
      </c>
      <c r="O158" t="s">
        <v>340</v>
      </c>
    </row>
    <row r="159" spans="1:15" ht="12.75" x14ac:dyDescent="0.2">
      <c r="A159" t="s">
        <v>417</v>
      </c>
      <c r="B159" s="75">
        <v>249915</v>
      </c>
      <c r="C159" s="75">
        <v>40</v>
      </c>
      <c r="D159" s="37">
        <v>249955</v>
      </c>
      <c r="E159" s="37">
        <v>18297</v>
      </c>
      <c r="F159" s="37">
        <v>0</v>
      </c>
      <c r="G159" s="75">
        <v>1961</v>
      </c>
      <c r="H159" s="37">
        <v>0</v>
      </c>
      <c r="I159" s="75">
        <v>0</v>
      </c>
      <c r="J159" s="37">
        <v>0</v>
      </c>
      <c r="K159" s="37">
        <v>12356</v>
      </c>
      <c r="L159" s="75">
        <v>282569</v>
      </c>
      <c r="M159" s="87" t="s">
        <v>255</v>
      </c>
      <c r="N159" t="s">
        <v>333</v>
      </c>
      <c r="O159" t="s">
        <v>343</v>
      </c>
    </row>
    <row r="160" spans="1:15" ht="12.75" x14ac:dyDescent="0.2">
      <c r="A160" t="s">
        <v>256</v>
      </c>
      <c r="B160" s="75">
        <v>21</v>
      </c>
      <c r="C160" s="75">
        <v>0</v>
      </c>
      <c r="D160" s="37">
        <v>21</v>
      </c>
      <c r="E160" s="37">
        <v>59</v>
      </c>
      <c r="F160" s="37">
        <v>0</v>
      </c>
      <c r="G160" s="75">
        <v>0</v>
      </c>
      <c r="H160" s="37">
        <v>0</v>
      </c>
      <c r="I160" s="75">
        <v>0</v>
      </c>
      <c r="J160" s="37">
        <v>0</v>
      </c>
      <c r="K160" s="37">
        <v>0</v>
      </c>
      <c r="L160" s="75">
        <v>80</v>
      </c>
      <c r="M160" s="87" t="s">
        <v>257</v>
      </c>
      <c r="N160" t="s">
        <v>337</v>
      </c>
      <c r="O160" t="s">
        <v>346</v>
      </c>
    </row>
    <row r="161" spans="1:15" ht="12.75" x14ac:dyDescent="0.2">
      <c r="A161" t="s">
        <v>418</v>
      </c>
      <c r="B161" s="75">
        <v>117</v>
      </c>
      <c r="C161" s="75">
        <v>0</v>
      </c>
      <c r="D161" s="37">
        <v>117</v>
      </c>
      <c r="E161" s="37">
        <v>231</v>
      </c>
      <c r="F161" s="37">
        <v>0</v>
      </c>
      <c r="G161" s="75">
        <v>0</v>
      </c>
      <c r="H161" s="37">
        <v>0</v>
      </c>
      <c r="I161" s="75">
        <v>0</v>
      </c>
      <c r="J161" s="37">
        <v>0</v>
      </c>
      <c r="K161" s="37">
        <v>0</v>
      </c>
      <c r="L161" s="75">
        <v>348</v>
      </c>
      <c r="M161" s="87" t="s">
        <v>419</v>
      </c>
      <c r="N161" t="s">
        <v>337</v>
      </c>
      <c r="O161" t="s">
        <v>346</v>
      </c>
    </row>
    <row r="162" spans="1:15" ht="12.75" x14ac:dyDescent="0.2">
      <c r="A162" t="s">
        <v>258</v>
      </c>
      <c r="B162" s="75">
        <v>157</v>
      </c>
      <c r="C162" s="75">
        <v>0</v>
      </c>
      <c r="D162" s="37">
        <v>157</v>
      </c>
      <c r="E162" s="37">
        <v>165</v>
      </c>
      <c r="F162" s="37">
        <v>0</v>
      </c>
      <c r="G162" s="75">
        <v>0</v>
      </c>
      <c r="H162" s="37">
        <v>0</v>
      </c>
      <c r="I162" s="75">
        <v>0</v>
      </c>
      <c r="J162" s="37">
        <v>0</v>
      </c>
      <c r="K162" s="37">
        <v>0</v>
      </c>
      <c r="L162" s="75">
        <v>322</v>
      </c>
      <c r="M162" s="87" t="s">
        <v>259</v>
      </c>
      <c r="N162" t="s">
        <v>337</v>
      </c>
      <c r="O162" t="s">
        <v>346</v>
      </c>
    </row>
    <row r="163" spans="1:15" ht="12.75" x14ac:dyDescent="0.2">
      <c r="A163" t="s">
        <v>420</v>
      </c>
      <c r="B163" s="75">
        <v>16</v>
      </c>
      <c r="C163" s="75">
        <v>0</v>
      </c>
      <c r="D163" s="37">
        <v>16</v>
      </c>
      <c r="E163" s="37">
        <v>375</v>
      </c>
      <c r="F163" s="37">
        <v>0</v>
      </c>
      <c r="G163" s="75">
        <v>0</v>
      </c>
      <c r="H163" s="37">
        <v>0</v>
      </c>
      <c r="I163" s="75">
        <v>0</v>
      </c>
      <c r="J163" s="37">
        <v>0</v>
      </c>
      <c r="K163" s="37">
        <v>0</v>
      </c>
      <c r="L163" s="75">
        <v>391</v>
      </c>
      <c r="M163" s="87" t="s">
        <v>421</v>
      </c>
      <c r="N163" t="s">
        <v>339</v>
      </c>
      <c r="O163" t="s">
        <v>347</v>
      </c>
    </row>
    <row r="164" spans="1:15" ht="12.75" x14ac:dyDescent="0.2">
      <c r="A164" t="s">
        <v>422</v>
      </c>
      <c r="B164" s="75">
        <v>11</v>
      </c>
      <c r="C164" s="75">
        <v>0</v>
      </c>
      <c r="D164" s="37">
        <v>11</v>
      </c>
      <c r="E164" s="37">
        <v>24</v>
      </c>
      <c r="F164" s="37">
        <v>0</v>
      </c>
      <c r="G164" s="75">
        <v>0</v>
      </c>
      <c r="H164" s="37">
        <v>0</v>
      </c>
      <c r="I164" s="75">
        <v>0</v>
      </c>
      <c r="J164" s="37">
        <v>0</v>
      </c>
      <c r="K164" s="37">
        <v>0</v>
      </c>
      <c r="L164" s="75">
        <v>35</v>
      </c>
      <c r="M164" s="87" t="s">
        <v>423</v>
      </c>
      <c r="N164" t="s">
        <v>335</v>
      </c>
      <c r="O164" t="s">
        <v>343</v>
      </c>
    </row>
    <row r="165" spans="1:15" ht="12.75" x14ac:dyDescent="0.2">
      <c r="A165" t="s">
        <v>424</v>
      </c>
      <c r="B165" s="75">
        <v>2085</v>
      </c>
      <c r="C165" s="75">
        <v>5</v>
      </c>
      <c r="D165" s="37">
        <v>2090</v>
      </c>
      <c r="E165" s="37">
        <v>1640</v>
      </c>
      <c r="F165" s="37">
        <v>0</v>
      </c>
      <c r="G165" s="75">
        <v>0</v>
      </c>
      <c r="H165" s="37">
        <v>0</v>
      </c>
      <c r="I165" s="75">
        <v>0</v>
      </c>
      <c r="J165" s="37">
        <v>0</v>
      </c>
      <c r="K165" s="37">
        <v>27</v>
      </c>
      <c r="L165" s="75">
        <v>3757</v>
      </c>
      <c r="M165" s="87" t="s">
        <v>260</v>
      </c>
      <c r="N165" t="s">
        <v>341</v>
      </c>
      <c r="O165" t="s">
        <v>344</v>
      </c>
    </row>
    <row r="166" spans="1:15" ht="12.75" x14ac:dyDescent="0.2">
      <c r="A166" t="s">
        <v>261</v>
      </c>
      <c r="B166" s="75">
        <v>11924</v>
      </c>
      <c r="C166" s="75">
        <v>0</v>
      </c>
      <c r="D166" s="37">
        <v>11924</v>
      </c>
      <c r="E166" s="37">
        <v>18780</v>
      </c>
      <c r="F166" s="37">
        <v>0</v>
      </c>
      <c r="G166" s="75">
        <v>0</v>
      </c>
      <c r="H166" s="37">
        <v>0</v>
      </c>
      <c r="I166" s="75">
        <v>0</v>
      </c>
      <c r="J166" s="37">
        <v>0</v>
      </c>
      <c r="K166" s="37">
        <v>0</v>
      </c>
      <c r="L166" s="75">
        <v>30704</v>
      </c>
      <c r="M166" s="87" t="s">
        <v>262</v>
      </c>
      <c r="N166" t="s">
        <v>335</v>
      </c>
      <c r="O166" t="s">
        <v>343</v>
      </c>
    </row>
    <row r="167" spans="1:15" ht="12.75" x14ac:dyDescent="0.2">
      <c r="A167" t="s">
        <v>263</v>
      </c>
      <c r="B167" s="75">
        <v>29651</v>
      </c>
      <c r="C167" s="75">
        <v>156</v>
      </c>
      <c r="D167" s="37">
        <v>29807</v>
      </c>
      <c r="E167" s="37">
        <v>5781</v>
      </c>
      <c r="F167" s="37">
        <v>0</v>
      </c>
      <c r="G167" s="75">
        <v>12</v>
      </c>
      <c r="H167" s="37">
        <v>209790</v>
      </c>
      <c r="I167" s="75">
        <v>114</v>
      </c>
      <c r="J167" s="37">
        <v>0</v>
      </c>
      <c r="K167" s="37">
        <v>13</v>
      </c>
      <c r="L167" s="75">
        <v>245517</v>
      </c>
      <c r="M167" s="87" t="s">
        <v>264</v>
      </c>
      <c r="N167" t="s">
        <v>340</v>
      </c>
      <c r="O167" t="s">
        <v>340</v>
      </c>
    </row>
    <row r="168" spans="1:15" ht="12.75" x14ac:dyDescent="0.2">
      <c r="A168" t="s">
        <v>425</v>
      </c>
      <c r="B168" s="75">
        <v>10</v>
      </c>
      <c r="C168" s="75">
        <v>0</v>
      </c>
      <c r="D168" s="37">
        <v>10</v>
      </c>
      <c r="E168" s="37">
        <v>13</v>
      </c>
      <c r="F168" s="37">
        <v>0</v>
      </c>
      <c r="G168" s="75">
        <v>0</v>
      </c>
      <c r="H168" s="37">
        <v>0</v>
      </c>
      <c r="I168" s="75">
        <v>0</v>
      </c>
      <c r="J168" s="37">
        <v>0</v>
      </c>
      <c r="K168" s="37">
        <v>0</v>
      </c>
      <c r="L168" s="75">
        <v>23</v>
      </c>
      <c r="M168" s="87" t="s">
        <v>426</v>
      </c>
      <c r="N168" t="s">
        <v>334</v>
      </c>
      <c r="O168" t="s">
        <v>343</v>
      </c>
    </row>
    <row r="169" spans="1:15" ht="12.75" x14ac:dyDescent="0.2">
      <c r="A169" t="s">
        <v>265</v>
      </c>
      <c r="B169" s="75">
        <v>7436</v>
      </c>
      <c r="C169" s="75">
        <v>9</v>
      </c>
      <c r="D169" s="37">
        <v>7445</v>
      </c>
      <c r="E169" s="37">
        <v>8160</v>
      </c>
      <c r="F169" s="37">
        <v>0</v>
      </c>
      <c r="G169" s="75">
        <v>0</v>
      </c>
      <c r="H169" s="37">
        <v>0</v>
      </c>
      <c r="I169" s="75">
        <v>0</v>
      </c>
      <c r="J169" s="37">
        <v>0</v>
      </c>
      <c r="K169" s="37">
        <v>14</v>
      </c>
      <c r="L169" s="75">
        <v>15619</v>
      </c>
      <c r="M169" s="87" t="s">
        <v>266</v>
      </c>
      <c r="N169" t="s">
        <v>335</v>
      </c>
      <c r="O169" t="s">
        <v>343</v>
      </c>
    </row>
    <row r="170" spans="1:15" ht="12.75" x14ac:dyDescent="0.2">
      <c r="A170" t="s">
        <v>267</v>
      </c>
      <c r="B170" s="75">
        <v>37</v>
      </c>
      <c r="C170" s="75">
        <v>0</v>
      </c>
      <c r="D170" s="37">
        <v>37</v>
      </c>
      <c r="E170" s="37">
        <v>229</v>
      </c>
      <c r="F170" s="37">
        <v>0</v>
      </c>
      <c r="G170" s="75">
        <v>0</v>
      </c>
      <c r="H170" s="37">
        <v>0</v>
      </c>
      <c r="I170" s="75">
        <v>0</v>
      </c>
      <c r="J170" s="37">
        <v>0</v>
      </c>
      <c r="K170" s="37">
        <v>0</v>
      </c>
      <c r="L170" s="75">
        <v>266</v>
      </c>
      <c r="M170" s="87" t="s">
        <v>268</v>
      </c>
      <c r="N170" t="s">
        <v>339</v>
      </c>
      <c r="O170" t="s">
        <v>344</v>
      </c>
    </row>
    <row r="171" spans="1:15" ht="12.75" x14ac:dyDescent="0.2">
      <c r="A171" t="s">
        <v>271</v>
      </c>
      <c r="B171" s="75">
        <v>628</v>
      </c>
      <c r="C171" s="75">
        <v>0</v>
      </c>
      <c r="D171" s="37">
        <v>628</v>
      </c>
      <c r="E171" s="37">
        <v>113</v>
      </c>
      <c r="F171" s="37">
        <v>0</v>
      </c>
      <c r="G171" s="75">
        <v>0</v>
      </c>
      <c r="H171" s="37">
        <v>0</v>
      </c>
      <c r="I171" s="75">
        <v>0</v>
      </c>
      <c r="J171" s="37">
        <v>0</v>
      </c>
      <c r="K171" s="37">
        <v>0</v>
      </c>
      <c r="L171" s="75">
        <v>741</v>
      </c>
      <c r="M171" s="87" t="s">
        <v>272</v>
      </c>
      <c r="N171" t="s">
        <v>340</v>
      </c>
      <c r="O171" t="s">
        <v>340</v>
      </c>
    </row>
    <row r="172" spans="1:15" ht="12.75" x14ac:dyDescent="0.2">
      <c r="A172" t="s">
        <v>273</v>
      </c>
      <c r="B172" s="75">
        <v>7</v>
      </c>
      <c r="C172" s="75">
        <v>0</v>
      </c>
      <c r="D172" s="37">
        <v>7</v>
      </c>
      <c r="E172" s="37">
        <v>91</v>
      </c>
      <c r="F172" s="37">
        <v>0</v>
      </c>
      <c r="G172" s="75">
        <v>0</v>
      </c>
      <c r="H172" s="37">
        <v>0</v>
      </c>
      <c r="I172" s="75">
        <v>0</v>
      </c>
      <c r="J172" s="37">
        <v>0</v>
      </c>
      <c r="K172" s="37">
        <v>0</v>
      </c>
      <c r="L172" s="75">
        <v>98</v>
      </c>
      <c r="M172" s="87" t="s">
        <v>274</v>
      </c>
      <c r="N172" t="s">
        <v>340</v>
      </c>
      <c r="O172" t="s">
        <v>340</v>
      </c>
    </row>
    <row r="173" spans="1:15" ht="12.75" x14ac:dyDescent="0.2">
      <c r="A173" t="s">
        <v>275</v>
      </c>
      <c r="B173" s="75">
        <v>36</v>
      </c>
      <c r="C173" s="75">
        <v>0</v>
      </c>
      <c r="D173" s="37">
        <v>36</v>
      </c>
      <c r="E173" s="37">
        <v>520</v>
      </c>
      <c r="F173" s="37">
        <v>0</v>
      </c>
      <c r="G173" s="75">
        <v>0</v>
      </c>
      <c r="H173" s="37">
        <v>1000</v>
      </c>
      <c r="I173" s="75">
        <v>0</v>
      </c>
      <c r="J173" s="37">
        <v>0</v>
      </c>
      <c r="K173" s="37">
        <v>0</v>
      </c>
      <c r="L173" s="75">
        <v>1556</v>
      </c>
      <c r="M173" s="87" t="s">
        <v>276</v>
      </c>
      <c r="N173" t="s">
        <v>339</v>
      </c>
      <c r="O173" t="s">
        <v>347</v>
      </c>
    </row>
    <row r="174" spans="1:15" ht="12.75" x14ac:dyDescent="0.2">
      <c r="A174" t="s">
        <v>277</v>
      </c>
      <c r="B174" s="75">
        <v>842001</v>
      </c>
      <c r="C174" s="75">
        <v>43</v>
      </c>
      <c r="D174" s="37">
        <v>842044</v>
      </c>
      <c r="E174" s="37">
        <v>179224</v>
      </c>
      <c r="F174" s="37">
        <v>0</v>
      </c>
      <c r="G174" s="75">
        <v>1876</v>
      </c>
      <c r="H174" s="37">
        <v>3860099</v>
      </c>
      <c r="I174" s="75">
        <v>0</v>
      </c>
      <c r="J174" s="37">
        <v>0</v>
      </c>
      <c r="K174" s="37">
        <v>64332</v>
      </c>
      <c r="L174" s="75">
        <v>4947575</v>
      </c>
      <c r="M174" s="87" t="s">
        <v>278</v>
      </c>
      <c r="N174" t="s">
        <v>333</v>
      </c>
      <c r="O174" t="s">
        <v>343</v>
      </c>
    </row>
    <row r="175" spans="1:15" ht="12.75" x14ac:dyDescent="0.2">
      <c r="A175" t="s">
        <v>427</v>
      </c>
      <c r="B175" s="75">
        <v>919</v>
      </c>
      <c r="C175" s="75">
        <v>0</v>
      </c>
      <c r="D175" s="37">
        <v>919</v>
      </c>
      <c r="E175" s="37">
        <v>4163</v>
      </c>
      <c r="F175" s="37">
        <v>0</v>
      </c>
      <c r="G175" s="75">
        <v>0</v>
      </c>
      <c r="H175" s="37">
        <v>0</v>
      </c>
      <c r="I175" s="75">
        <v>0</v>
      </c>
      <c r="J175" s="37">
        <v>0</v>
      </c>
      <c r="K175" s="37">
        <v>6</v>
      </c>
      <c r="L175" s="75">
        <v>5088</v>
      </c>
      <c r="M175" s="87" t="s">
        <v>279</v>
      </c>
      <c r="N175" t="s">
        <v>334</v>
      </c>
      <c r="O175" t="s">
        <v>343</v>
      </c>
    </row>
    <row r="176" spans="1:15" ht="12.75" x14ac:dyDescent="0.2">
      <c r="A176" t="s">
        <v>280</v>
      </c>
      <c r="B176" s="75">
        <v>2292482</v>
      </c>
      <c r="C176" s="75">
        <v>0</v>
      </c>
      <c r="D176" s="37">
        <v>2292482</v>
      </c>
      <c r="E176" s="37">
        <v>24596</v>
      </c>
      <c r="F176" s="37">
        <v>0</v>
      </c>
      <c r="G176" s="75">
        <v>527206</v>
      </c>
      <c r="H176" s="37">
        <v>1236672</v>
      </c>
      <c r="I176" s="75">
        <v>0</v>
      </c>
      <c r="J176" s="37">
        <v>0</v>
      </c>
      <c r="K176" s="37">
        <v>66</v>
      </c>
      <c r="L176" s="75">
        <v>4081022</v>
      </c>
      <c r="M176" s="87" t="s">
        <v>281</v>
      </c>
      <c r="N176" t="s">
        <v>333</v>
      </c>
      <c r="O176" t="s">
        <v>343</v>
      </c>
    </row>
    <row r="177" spans="1:15" ht="12.75" x14ac:dyDescent="0.2">
      <c r="A177" t="s">
        <v>428</v>
      </c>
      <c r="B177" s="75">
        <v>56</v>
      </c>
      <c r="C177" s="75">
        <v>0</v>
      </c>
      <c r="D177" s="37">
        <v>56</v>
      </c>
      <c r="E177" s="37">
        <v>1322</v>
      </c>
      <c r="F177" s="37">
        <v>0</v>
      </c>
      <c r="G177" s="75">
        <v>0</v>
      </c>
      <c r="H177" s="37">
        <v>0</v>
      </c>
      <c r="I177" s="75">
        <v>0</v>
      </c>
      <c r="J177" s="37">
        <v>0</v>
      </c>
      <c r="K177" s="37">
        <v>0</v>
      </c>
      <c r="L177" s="75">
        <v>1378</v>
      </c>
      <c r="M177" s="87" t="s">
        <v>282</v>
      </c>
      <c r="N177" t="s">
        <v>340</v>
      </c>
      <c r="O177" t="s">
        <v>340</v>
      </c>
    </row>
    <row r="178" spans="1:15" ht="12.75" x14ac:dyDescent="0.2">
      <c r="A178" t="s">
        <v>283</v>
      </c>
      <c r="B178" s="75">
        <v>145293</v>
      </c>
      <c r="C178" s="75">
        <v>26</v>
      </c>
      <c r="D178" s="37">
        <v>145319</v>
      </c>
      <c r="E178" s="37">
        <v>18076</v>
      </c>
      <c r="F178" s="37">
        <v>0</v>
      </c>
      <c r="G178" s="75">
        <v>346</v>
      </c>
      <c r="H178" s="37">
        <v>4806</v>
      </c>
      <c r="I178" s="75">
        <v>3734</v>
      </c>
      <c r="J178" s="37">
        <v>0</v>
      </c>
      <c r="K178" s="37">
        <v>23</v>
      </c>
      <c r="L178" s="75">
        <v>172304</v>
      </c>
      <c r="M178" s="87" t="s">
        <v>284</v>
      </c>
      <c r="N178" t="s">
        <v>339</v>
      </c>
      <c r="O178" t="s">
        <v>344</v>
      </c>
    </row>
    <row r="179" spans="1:15" ht="12.75" x14ac:dyDescent="0.2">
      <c r="A179" t="s">
        <v>285</v>
      </c>
      <c r="B179" s="75">
        <v>1496849</v>
      </c>
      <c r="C179" s="75">
        <v>74</v>
      </c>
      <c r="D179" s="37">
        <v>1496923</v>
      </c>
      <c r="E179" s="37">
        <v>253902</v>
      </c>
      <c r="F179" s="37">
        <v>0</v>
      </c>
      <c r="G179" s="75">
        <v>17238</v>
      </c>
      <c r="H179" s="37">
        <v>9052822</v>
      </c>
      <c r="I179" s="75">
        <v>0</v>
      </c>
      <c r="J179" s="37">
        <v>0</v>
      </c>
      <c r="K179" s="37">
        <v>1981</v>
      </c>
      <c r="L179" s="75">
        <v>10822866</v>
      </c>
      <c r="M179" s="87" t="s">
        <v>286</v>
      </c>
      <c r="N179" t="s">
        <v>333</v>
      </c>
      <c r="O179" t="s">
        <v>343</v>
      </c>
    </row>
    <row r="180" spans="1:15" ht="12.75" x14ac:dyDescent="0.2">
      <c r="A180" t="s">
        <v>287</v>
      </c>
      <c r="B180" s="75">
        <v>42</v>
      </c>
      <c r="C180" s="75">
        <v>0</v>
      </c>
      <c r="D180" s="37">
        <v>42</v>
      </c>
      <c r="E180" s="37">
        <v>179</v>
      </c>
      <c r="F180" s="37">
        <v>0</v>
      </c>
      <c r="G180" s="75">
        <v>0</v>
      </c>
      <c r="H180" s="37">
        <v>0</v>
      </c>
      <c r="I180" s="75">
        <v>0</v>
      </c>
      <c r="J180" s="37">
        <v>0</v>
      </c>
      <c r="K180" s="37">
        <v>5</v>
      </c>
      <c r="L180" s="75">
        <v>226</v>
      </c>
      <c r="M180" s="87" t="s">
        <v>288</v>
      </c>
      <c r="N180" t="s">
        <v>337</v>
      </c>
      <c r="O180" t="s">
        <v>346</v>
      </c>
    </row>
    <row r="181" spans="1:15" ht="12.75" x14ac:dyDescent="0.2">
      <c r="A181" t="s">
        <v>289</v>
      </c>
      <c r="B181" s="75">
        <v>23</v>
      </c>
      <c r="C181" s="75">
        <v>0</v>
      </c>
      <c r="D181" s="37">
        <v>23</v>
      </c>
      <c r="E181" s="37">
        <v>175</v>
      </c>
      <c r="F181" s="37">
        <v>0</v>
      </c>
      <c r="G181" s="75">
        <v>0</v>
      </c>
      <c r="H181" s="37">
        <v>0</v>
      </c>
      <c r="I181" s="75">
        <v>0</v>
      </c>
      <c r="J181" s="37">
        <v>0</v>
      </c>
      <c r="K181" s="37">
        <v>5</v>
      </c>
      <c r="L181" s="75">
        <v>203</v>
      </c>
      <c r="M181" s="87" t="s">
        <v>290</v>
      </c>
      <c r="N181" t="s">
        <v>340</v>
      </c>
      <c r="O181" t="s">
        <v>340</v>
      </c>
    </row>
    <row r="182" spans="1:15" ht="12.75" x14ac:dyDescent="0.2">
      <c r="A182" t="s">
        <v>291</v>
      </c>
      <c r="B182" s="75">
        <v>0</v>
      </c>
      <c r="C182" s="75">
        <v>0</v>
      </c>
      <c r="D182" s="37">
        <v>0</v>
      </c>
      <c r="E182" s="37">
        <v>42</v>
      </c>
      <c r="F182" s="37">
        <v>0</v>
      </c>
      <c r="G182" s="75">
        <v>0</v>
      </c>
      <c r="H182" s="37">
        <v>0</v>
      </c>
      <c r="I182" s="75">
        <v>0</v>
      </c>
      <c r="J182" s="37">
        <v>0</v>
      </c>
      <c r="K182" s="37">
        <v>0</v>
      </c>
      <c r="L182" s="75">
        <v>42</v>
      </c>
      <c r="M182" s="87" t="s">
        <v>292</v>
      </c>
      <c r="N182" t="s">
        <v>340</v>
      </c>
      <c r="O182" t="s">
        <v>340</v>
      </c>
    </row>
    <row r="183" spans="1:15" ht="12.75" x14ac:dyDescent="0.2">
      <c r="A183" t="s">
        <v>429</v>
      </c>
      <c r="B183" s="75">
        <v>6348938</v>
      </c>
      <c r="C183" s="75">
        <v>6850</v>
      </c>
      <c r="D183" s="37">
        <v>6355788</v>
      </c>
      <c r="E183" s="37">
        <v>182954</v>
      </c>
      <c r="F183" s="37">
        <v>0</v>
      </c>
      <c r="G183" s="75">
        <v>37552</v>
      </c>
      <c r="H183" s="37">
        <v>7248188</v>
      </c>
      <c r="I183" s="75">
        <v>155325</v>
      </c>
      <c r="J183" s="37">
        <v>0</v>
      </c>
      <c r="K183" s="37">
        <v>6626</v>
      </c>
      <c r="L183" s="75">
        <v>13986433</v>
      </c>
      <c r="M183" s="87" t="s">
        <v>293</v>
      </c>
      <c r="N183" t="s">
        <v>341</v>
      </c>
      <c r="O183" t="s">
        <v>344</v>
      </c>
    </row>
    <row r="184" spans="1:15" ht="12.75" x14ac:dyDescent="0.2">
      <c r="A184" t="s">
        <v>294</v>
      </c>
      <c r="B184" s="75">
        <v>3623</v>
      </c>
      <c r="C184" s="75">
        <v>97</v>
      </c>
      <c r="D184" s="37">
        <v>3720</v>
      </c>
      <c r="E184" s="37">
        <v>6001</v>
      </c>
      <c r="F184" s="37">
        <v>0</v>
      </c>
      <c r="G184" s="75">
        <v>0</v>
      </c>
      <c r="H184" s="37">
        <v>0</v>
      </c>
      <c r="I184" s="75">
        <v>0</v>
      </c>
      <c r="J184" s="37">
        <v>0</v>
      </c>
      <c r="K184" s="37">
        <v>0</v>
      </c>
      <c r="L184" s="75">
        <v>9721</v>
      </c>
      <c r="M184" s="87" t="s">
        <v>295</v>
      </c>
      <c r="N184" t="s">
        <v>339</v>
      </c>
      <c r="O184" t="s">
        <v>344</v>
      </c>
    </row>
    <row r="185" spans="1:15" ht="12.75" x14ac:dyDescent="0.2">
      <c r="A185" t="s">
        <v>430</v>
      </c>
      <c r="B185" s="75">
        <v>222</v>
      </c>
      <c r="C185" s="75">
        <v>0</v>
      </c>
      <c r="D185" s="37">
        <v>222</v>
      </c>
      <c r="E185" s="37">
        <v>3371</v>
      </c>
      <c r="F185" s="37">
        <v>0</v>
      </c>
      <c r="G185" s="75">
        <v>0</v>
      </c>
      <c r="H185" s="37">
        <v>0</v>
      </c>
      <c r="I185" s="75">
        <v>0</v>
      </c>
      <c r="J185" s="37">
        <v>0</v>
      </c>
      <c r="K185" s="37">
        <v>0</v>
      </c>
      <c r="L185" s="75">
        <v>3593</v>
      </c>
      <c r="M185" s="87" t="s">
        <v>296</v>
      </c>
      <c r="N185" t="s">
        <v>339</v>
      </c>
      <c r="O185" t="s">
        <v>344</v>
      </c>
    </row>
    <row r="186" spans="1:15" ht="12.75" x14ac:dyDescent="0.2">
      <c r="A186" t="s">
        <v>472</v>
      </c>
      <c r="B186" s="75">
        <v>12575</v>
      </c>
      <c r="C186" s="75">
        <v>0</v>
      </c>
      <c r="D186" s="37">
        <v>12575</v>
      </c>
      <c r="E186" s="37">
        <v>0</v>
      </c>
      <c r="F186" s="37">
        <v>0</v>
      </c>
      <c r="G186" s="75">
        <v>0</v>
      </c>
      <c r="H186" s="37">
        <v>0</v>
      </c>
      <c r="I186" s="75">
        <v>0</v>
      </c>
      <c r="J186" s="37">
        <v>0</v>
      </c>
      <c r="K186" s="37">
        <v>14</v>
      </c>
      <c r="L186" s="75">
        <v>12589</v>
      </c>
      <c r="M186" s="87"/>
      <c r="N186" t="s">
        <v>339</v>
      </c>
      <c r="O186" t="s">
        <v>344</v>
      </c>
    </row>
    <row r="187" spans="1:15" ht="12.75" x14ac:dyDescent="0.2">
      <c r="A187" t="s">
        <v>431</v>
      </c>
      <c r="B187" s="75">
        <v>0</v>
      </c>
      <c r="C187" s="75">
        <v>0</v>
      </c>
      <c r="D187" s="37">
        <v>0</v>
      </c>
      <c r="E187" s="37">
        <v>1085</v>
      </c>
      <c r="F187" s="37">
        <v>0</v>
      </c>
      <c r="G187" s="75">
        <v>0</v>
      </c>
      <c r="H187" s="37">
        <v>0</v>
      </c>
      <c r="I187" s="75">
        <v>0</v>
      </c>
      <c r="J187" s="37">
        <v>0</v>
      </c>
      <c r="K187" s="37">
        <v>0</v>
      </c>
      <c r="L187" s="75">
        <v>1085</v>
      </c>
      <c r="M187" s="87" t="s">
        <v>432</v>
      </c>
      <c r="N187" t="s">
        <v>339</v>
      </c>
      <c r="O187" t="s">
        <v>344</v>
      </c>
    </row>
    <row r="188" spans="1:15" ht="12.75" x14ac:dyDescent="0.2">
      <c r="A188" t="s">
        <v>297</v>
      </c>
      <c r="B188" s="75">
        <v>7955</v>
      </c>
      <c r="C188" s="75">
        <v>0</v>
      </c>
      <c r="D188" s="37">
        <v>7955</v>
      </c>
      <c r="E188" s="37">
        <v>8192</v>
      </c>
      <c r="F188" s="37">
        <v>0</v>
      </c>
      <c r="G188" s="75">
        <v>0</v>
      </c>
      <c r="H188" s="37">
        <v>9680</v>
      </c>
      <c r="I188" s="75">
        <v>0</v>
      </c>
      <c r="J188" s="37">
        <v>0</v>
      </c>
      <c r="K188" s="37">
        <v>0</v>
      </c>
      <c r="L188" s="75">
        <v>25827</v>
      </c>
      <c r="M188" s="87" t="s">
        <v>298</v>
      </c>
      <c r="N188" t="s">
        <v>335</v>
      </c>
      <c r="O188" t="s">
        <v>343</v>
      </c>
    </row>
    <row r="189" spans="1:15" ht="12.75" x14ac:dyDescent="0.2">
      <c r="A189" t="s">
        <v>433</v>
      </c>
      <c r="B189" s="75">
        <v>41</v>
      </c>
      <c r="C189" s="75">
        <v>0</v>
      </c>
      <c r="D189" s="37">
        <v>41</v>
      </c>
      <c r="E189" s="37">
        <v>1327</v>
      </c>
      <c r="F189" s="37">
        <v>0</v>
      </c>
      <c r="G189" s="75">
        <v>0</v>
      </c>
      <c r="H189" s="37">
        <v>0</v>
      </c>
      <c r="I189" s="75">
        <v>0</v>
      </c>
      <c r="J189" s="37">
        <v>0</v>
      </c>
      <c r="K189" s="37">
        <v>0</v>
      </c>
      <c r="L189" s="75">
        <v>1368</v>
      </c>
      <c r="M189" s="87" t="s">
        <v>434</v>
      </c>
      <c r="N189" t="s">
        <v>339</v>
      </c>
      <c r="O189" t="s">
        <v>347</v>
      </c>
    </row>
    <row r="190" spans="1:15" ht="12.75" x14ac:dyDescent="0.2">
      <c r="A190" t="s">
        <v>299</v>
      </c>
      <c r="B190" s="75">
        <v>351</v>
      </c>
      <c r="C190" s="75">
        <v>0</v>
      </c>
      <c r="D190" s="37">
        <v>351</v>
      </c>
      <c r="E190" s="37">
        <v>819</v>
      </c>
      <c r="F190" s="37">
        <v>0</v>
      </c>
      <c r="G190" s="75">
        <v>0</v>
      </c>
      <c r="H190" s="37">
        <v>0</v>
      </c>
      <c r="I190" s="75">
        <v>0</v>
      </c>
      <c r="J190" s="37">
        <v>0</v>
      </c>
      <c r="K190" s="37">
        <v>1040</v>
      </c>
      <c r="L190" s="75">
        <v>2210</v>
      </c>
      <c r="M190" s="87" t="s">
        <v>300</v>
      </c>
      <c r="N190" t="s">
        <v>337</v>
      </c>
      <c r="O190" t="s">
        <v>346</v>
      </c>
    </row>
    <row r="191" spans="1:15" ht="12.75" x14ac:dyDescent="0.2">
      <c r="A191" t="s">
        <v>301</v>
      </c>
      <c r="B191" s="75">
        <v>2742</v>
      </c>
      <c r="C191" s="75">
        <v>58</v>
      </c>
      <c r="D191" s="37">
        <v>2800</v>
      </c>
      <c r="E191" s="37">
        <v>9194</v>
      </c>
      <c r="F191" s="37">
        <v>0</v>
      </c>
      <c r="G191" s="75">
        <v>0</v>
      </c>
      <c r="H191" s="37">
        <v>0</v>
      </c>
      <c r="I191" s="75">
        <v>0</v>
      </c>
      <c r="J191" s="37">
        <v>0</v>
      </c>
      <c r="K191" s="37">
        <v>10</v>
      </c>
      <c r="L191" s="75">
        <v>12004</v>
      </c>
      <c r="M191" s="87" t="s">
        <v>302</v>
      </c>
      <c r="N191" t="s">
        <v>341</v>
      </c>
      <c r="O191" t="s">
        <v>343</v>
      </c>
    </row>
    <row r="192" spans="1:15" ht="12.75" x14ac:dyDescent="0.2">
      <c r="A192" t="s">
        <v>435</v>
      </c>
      <c r="B192" s="75">
        <v>1457</v>
      </c>
      <c r="C192" s="75">
        <v>391</v>
      </c>
      <c r="D192" s="37">
        <v>1848</v>
      </c>
      <c r="E192" s="37">
        <v>1833</v>
      </c>
      <c r="F192" s="37">
        <v>0</v>
      </c>
      <c r="G192" s="75">
        <v>0</v>
      </c>
      <c r="H192" s="37">
        <v>0</v>
      </c>
      <c r="I192" s="75">
        <v>0</v>
      </c>
      <c r="J192" s="37">
        <v>0</v>
      </c>
      <c r="K192" s="37">
        <v>0</v>
      </c>
      <c r="L192" s="75">
        <v>3681</v>
      </c>
      <c r="M192" s="87" t="s">
        <v>305</v>
      </c>
      <c r="N192" t="s">
        <v>339</v>
      </c>
      <c r="O192" t="s">
        <v>344</v>
      </c>
    </row>
    <row r="193" spans="1:15" ht="12.75" x14ac:dyDescent="0.2">
      <c r="A193" t="s">
        <v>306</v>
      </c>
      <c r="B193" s="75">
        <v>19</v>
      </c>
      <c r="C193" s="75">
        <v>0</v>
      </c>
      <c r="D193" s="37">
        <v>19</v>
      </c>
      <c r="E193" s="37">
        <v>6</v>
      </c>
      <c r="F193" s="37">
        <v>0</v>
      </c>
      <c r="G193" s="75">
        <v>0</v>
      </c>
      <c r="H193" s="37">
        <v>0</v>
      </c>
      <c r="I193" s="75">
        <v>0</v>
      </c>
      <c r="J193" s="37">
        <v>0</v>
      </c>
      <c r="K193" s="37">
        <v>0</v>
      </c>
      <c r="L193" s="75">
        <v>25</v>
      </c>
      <c r="M193" s="87" t="s">
        <v>307</v>
      </c>
      <c r="N193" t="s">
        <v>337</v>
      </c>
      <c r="O193" t="s">
        <v>346</v>
      </c>
    </row>
    <row r="194" spans="1:15" ht="12.75" x14ac:dyDescent="0.2">
      <c r="A194" t="s">
        <v>460</v>
      </c>
      <c r="B194" s="75">
        <v>0</v>
      </c>
      <c r="C194" s="75">
        <v>0</v>
      </c>
      <c r="D194" s="37">
        <v>0</v>
      </c>
      <c r="E194" s="37">
        <v>5</v>
      </c>
      <c r="F194" s="37">
        <v>0</v>
      </c>
      <c r="G194" s="75">
        <v>0</v>
      </c>
      <c r="H194" s="37">
        <v>0</v>
      </c>
      <c r="I194" s="75">
        <v>0</v>
      </c>
      <c r="J194" s="37">
        <v>0</v>
      </c>
      <c r="K194" s="37">
        <v>0</v>
      </c>
      <c r="L194" s="75">
        <v>5</v>
      </c>
      <c r="M194" s="87" t="s">
        <v>459</v>
      </c>
      <c r="N194" t="s">
        <v>339</v>
      </c>
      <c r="O194" t="s">
        <v>347</v>
      </c>
    </row>
    <row r="195" spans="1:15" ht="12.75" x14ac:dyDescent="0.2">
      <c r="A195" t="s">
        <v>303</v>
      </c>
      <c r="B195" s="75">
        <v>127504</v>
      </c>
      <c r="C195" s="75">
        <v>234</v>
      </c>
      <c r="D195" s="37">
        <v>127738</v>
      </c>
      <c r="E195" s="37">
        <v>153142</v>
      </c>
      <c r="F195" s="37">
        <v>0</v>
      </c>
      <c r="G195" s="75">
        <v>0</v>
      </c>
      <c r="H195" s="37">
        <v>0</v>
      </c>
      <c r="I195" s="75">
        <v>0</v>
      </c>
      <c r="J195" s="37">
        <v>0</v>
      </c>
      <c r="K195" s="37">
        <v>467</v>
      </c>
      <c r="L195" s="75">
        <v>281347</v>
      </c>
      <c r="M195" s="87" t="s">
        <v>304</v>
      </c>
      <c r="N195" t="s">
        <v>340</v>
      </c>
      <c r="O195" t="s">
        <v>344</v>
      </c>
    </row>
    <row r="196" spans="1:15" ht="12.75" x14ac:dyDescent="0.2">
      <c r="A196" t="s">
        <v>436</v>
      </c>
      <c r="B196" s="75">
        <v>8360</v>
      </c>
      <c r="C196" s="75">
        <v>16</v>
      </c>
      <c r="D196" s="37">
        <v>8376</v>
      </c>
      <c r="E196" s="37">
        <v>14989</v>
      </c>
      <c r="F196" s="37">
        <v>0</v>
      </c>
      <c r="G196" s="75">
        <v>0</v>
      </c>
      <c r="H196" s="37">
        <v>0</v>
      </c>
      <c r="I196" s="75">
        <v>0</v>
      </c>
      <c r="J196" s="37">
        <v>0</v>
      </c>
      <c r="K196" s="37">
        <v>5</v>
      </c>
      <c r="L196" s="75">
        <v>23370</v>
      </c>
      <c r="M196" s="87" t="s">
        <v>308</v>
      </c>
      <c r="N196" t="s">
        <v>333</v>
      </c>
      <c r="O196" t="s">
        <v>343</v>
      </c>
    </row>
    <row r="197" spans="1:15" ht="12.75" x14ac:dyDescent="0.2">
      <c r="A197" t="s">
        <v>473</v>
      </c>
      <c r="B197" s="75">
        <v>4057674</v>
      </c>
      <c r="C197" s="75">
        <v>1902688</v>
      </c>
      <c r="D197" s="37">
        <v>5960362</v>
      </c>
      <c r="E197" s="37">
        <v>33988</v>
      </c>
      <c r="F197" s="37">
        <v>0</v>
      </c>
      <c r="G197" s="75">
        <v>324573</v>
      </c>
      <c r="H197" s="37">
        <v>3689000</v>
      </c>
      <c r="I197" s="75">
        <v>1318680</v>
      </c>
      <c r="J197" s="37">
        <v>0</v>
      </c>
      <c r="K197" s="37">
        <v>988425</v>
      </c>
      <c r="L197" s="75">
        <v>12315028</v>
      </c>
      <c r="M197" s="87" t="s">
        <v>309</v>
      </c>
      <c r="N197" t="s">
        <v>340</v>
      </c>
      <c r="O197" t="s">
        <v>340</v>
      </c>
    </row>
    <row r="198" spans="1:15" ht="12.75" x14ac:dyDescent="0.2">
      <c r="A198" t="s">
        <v>310</v>
      </c>
      <c r="B198" s="75">
        <v>229</v>
      </c>
      <c r="C198" s="75">
        <v>0</v>
      </c>
      <c r="D198" s="37">
        <v>229</v>
      </c>
      <c r="E198" s="37">
        <v>171</v>
      </c>
      <c r="F198" s="37">
        <v>0</v>
      </c>
      <c r="G198" s="75">
        <v>0</v>
      </c>
      <c r="H198" s="37">
        <v>0</v>
      </c>
      <c r="I198" s="75">
        <v>0</v>
      </c>
      <c r="J198" s="37">
        <v>0</v>
      </c>
      <c r="K198" s="37">
        <v>0</v>
      </c>
      <c r="L198" s="75">
        <v>400</v>
      </c>
      <c r="M198" s="87" t="s">
        <v>311</v>
      </c>
      <c r="N198" t="s">
        <v>341</v>
      </c>
      <c r="O198" t="s">
        <v>344</v>
      </c>
    </row>
    <row r="199" spans="1:15" ht="12.75" x14ac:dyDescent="0.2">
      <c r="A199" t="s">
        <v>437</v>
      </c>
      <c r="B199" s="75">
        <v>210</v>
      </c>
      <c r="C199" s="75">
        <v>0</v>
      </c>
      <c r="D199" s="37">
        <v>210</v>
      </c>
      <c r="E199" s="37">
        <v>394</v>
      </c>
      <c r="F199" s="37">
        <v>0</v>
      </c>
      <c r="G199" s="75">
        <v>0</v>
      </c>
      <c r="H199" s="37">
        <v>0</v>
      </c>
      <c r="I199" s="75">
        <v>0</v>
      </c>
      <c r="J199" s="37">
        <v>0</v>
      </c>
      <c r="K199" s="37">
        <v>0</v>
      </c>
      <c r="L199" s="75">
        <v>604</v>
      </c>
      <c r="M199" s="87" t="s">
        <v>312</v>
      </c>
      <c r="N199" t="s">
        <v>340</v>
      </c>
      <c r="O199" t="s">
        <v>340</v>
      </c>
    </row>
    <row r="200" spans="1:15" ht="12.75" x14ac:dyDescent="0.2">
      <c r="A200" t="s">
        <v>313</v>
      </c>
      <c r="B200" s="75">
        <v>927</v>
      </c>
      <c r="C200" s="75">
        <v>8</v>
      </c>
      <c r="D200" s="37">
        <v>935</v>
      </c>
      <c r="E200" s="37">
        <v>2954</v>
      </c>
      <c r="F200" s="37">
        <v>0</v>
      </c>
      <c r="G200" s="75">
        <v>0</v>
      </c>
      <c r="H200" s="37">
        <v>0</v>
      </c>
      <c r="I200" s="75">
        <v>0</v>
      </c>
      <c r="J200" s="37">
        <v>0</v>
      </c>
      <c r="K200" s="37">
        <v>10</v>
      </c>
      <c r="L200" s="75">
        <v>3899</v>
      </c>
      <c r="M200" s="87" t="s">
        <v>314</v>
      </c>
      <c r="N200" t="s">
        <v>333</v>
      </c>
      <c r="O200" t="s">
        <v>343</v>
      </c>
    </row>
    <row r="201" spans="1:15" ht="12.75" x14ac:dyDescent="0.2">
      <c r="A201" t="s">
        <v>474</v>
      </c>
      <c r="B201" s="75">
        <v>1215</v>
      </c>
      <c r="C201" s="75">
        <v>14</v>
      </c>
      <c r="D201" s="37">
        <v>1229</v>
      </c>
      <c r="E201" s="37">
        <v>2051</v>
      </c>
      <c r="F201" s="37">
        <v>0</v>
      </c>
      <c r="G201" s="75">
        <v>0</v>
      </c>
      <c r="H201" s="37">
        <v>0</v>
      </c>
      <c r="I201" s="75">
        <v>0</v>
      </c>
      <c r="J201" s="37">
        <v>0</v>
      </c>
      <c r="K201" s="37">
        <v>5</v>
      </c>
      <c r="L201" s="75">
        <v>3285</v>
      </c>
      <c r="M201" s="87" t="s">
        <v>315</v>
      </c>
      <c r="N201" t="s">
        <v>337</v>
      </c>
      <c r="O201" t="s">
        <v>346</v>
      </c>
    </row>
    <row r="202" spans="1:15" ht="12.75" x14ac:dyDescent="0.2">
      <c r="A202" t="s">
        <v>316</v>
      </c>
      <c r="B202" s="75">
        <v>93</v>
      </c>
      <c r="C202" s="75">
        <v>0</v>
      </c>
      <c r="D202" s="37">
        <v>93</v>
      </c>
      <c r="E202" s="37">
        <v>818</v>
      </c>
      <c r="F202" s="37">
        <v>0</v>
      </c>
      <c r="G202" s="75">
        <v>0</v>
      </c>
      <c r="H202" s="37">
        <v>0</v>
      </c>
      <c r="I202" s="75">
        <v>0</v>
      </c>
      <c r="J202" s="37">
        <v>0</v>
      </c>
      <c r="K202" s="37">
        <v>0</v>
      </c>
      <c r="L202" s="75">
        <v>911</v>
      </c>
      <c r="M202" s="87" t="s">
        <v>317</v>
      </c>
      <c r="N202" t="s">
        <v>337</v>
      </c>
      <c r="O202" t="s">
        <v>345</v>
      </c>
    </row>
    <row r="203" spans="1:15" ht="12.75" x14ac:dyDescent="0.2">
      <c r="A203" t="s">
        <v>438</v>
      </c>
      <c r="B203" s="75">
        <v>4352</v>
      </c>
      <c r="C203" s="75">
        <v>88</v>
      </c>
      <c r="D203" s="37">
        <v>4440</v>
      </c>
      <c r="E203" s="37">
        <v>17459</v>
      </c>
      <c r="F203" s="37">
        <v>0</v>
      </c>
      <c r="G203" s="75">
        <v>0</v>
      </c>
      <c r="H203" s="37">
        <v>0</v>
      </c>
      <c r="I203" s="75">
        <v>0</v>
      </c>
      <c r="J203" s="37">
        <v>0</v>
      </c>
      <c r="K203" s="37">
        <v>5</v>
      </c>
      <c r="L203" s="75">
        <v>21904</v>
      </c>
      <c r="M203" s="87" t="s">
        <v>318</v>
      </c>
      <c r="N203" t="s">
        <v>339</v>
      </c>
      <c r="O203" t="s">
        <v>344</v>
      </c>
    </row>
    <row r="204" spans="1:15" ht="12.75" x14ac:dyDescent="0.2">
      <c r="A204" t="s">
        <v>439</v>
      </c>
      <c r="B204" s="75">
        <v>5</v>
      </c>
      <c r="C204" s="75">
        <v>0</v>
      </c>
      <c r="D204" s="37">
        <v>5</v>
      </c>
      <c r="E204" s="37">
        <v>725</v>
      </c>
      <c r="F204" s="37">
        <v>0</v>
      </c>
      <c r="G204" s="75">
        <v>0</v>
      </c>
      <c r="H204" s="37">
        <v>0</v>
      </c>
      <c r="I204" s="75">
        <v>0</v>
      </c>
      <c r="J204" s="37">
        <v>0</v>
      </c>
      <c r="K204" s="37">
        <v>0</v>
      </c>
      <c r="L204" s="75">
        <v>730</v>
      </c>
      <c r="M204" s="87" t="s">
        <v>440</v>
      </c>
      <c r="N204" t="s">
        <v>339</v>
      </c>
      <c r="O204" t="s">
        <v>347</v>
      </c>
    </row>
    <row r="205" spans="1:15" ht="12.75" x14ac:dyDescent="0.2">
      <c r="A205" t="s">
        <v>319</v>
      </c>
      <c r="B205" s="75">
        <v>345144</v>
      </c>
      <c r="C205" s="75">
        <v>2551</v>
      </c>
      <c r="D205" s="37">
        <v>347695</v>
      </c>
      <c r="E205" s="37">
        <v>1200130</v>
      </c>
      <c r="F205" s="37">
        <v>5755363</v>
      </c>
      <c r="G205" s="75">
        <v>0</v>
      </c>
      <c r="H205" s="37">
        <v>0</v>
      </c>
      <c r="I205" s="75">
        <v>0</v>
      </c>
      <c r="J205" s="37">
        <v>0</v>
      </c>
      <c r="K205" s="37">
        <v>3293301</v>
      </c>
      <c r="L205" s="75">
        <v>10596489</v>
      </c>
      <c r="M205" s="87" t="s">
        <v>320</v>
      </c>
      <c r="N205" t="s">
        <v>337</v>
      </c>
      <c r="O205" t="s">
        <v>345</v>
      </c>
    </row>
    <row r="206" spans="1:15" ht="12.75" x14ac:dyDescent="0.2">
      <c r="A206" t="s">
        <v>321</v>
      </c>
      <c r="B206" s="75">
        <v>18180</v>
      </c>
      <c r="C206" s="75">
        <v>159</v>
      </c>
      <c r="D206" s="37">
        <v>18339</v>
      </c>
      <c r="E206" s="37">
        <v>13179</v>
      </c>
      <c r="F206" s="37">
        <v>0</v>
      </c>
      <c r="G206" s="75">
        <v>0</v>
      </c>
      <c r="H206" s="37">
        <v>0</v>
      </c>
      <c r="I206" s="75">
        <v>0</v>
      </c>
      <c r="J206" s="37">
        <v>0</v>
      </c>
      <c r="K206" s="37">
        <v>68</v>
      </c>
      <c r="L206" s="75">
        <v>31586</v>
      </c>
      <c r="M206" s="87" t="s">
        <v>322</v>
      </c>
      <c r="N206" t="s">
        <v>339</v>
      </c>
      <c r="O206" t="s">
        <v>344</v>
      </c>
    </row>
    <row r="207" spans="1:15" ht="12.75" x14ac:dyDescent="0.2">
      <c r="A207" t="s">
        <v>475</v>
      </c>
      <c r="B207" s="75">
        <v>90974</v>
      </c>
      <c r="C207" s="75">
        <v>0</v>
      </c>
      <c r="D207" s="37">
        <v>90974</v>
      </c>
      <c r="E207" s="37">
        <v>827</v>
      </c>
      <c r="F207" s="37">
        <v>0</v>
      </c>
      <c r="G207" s="75">
        <v>6</v>
      </c>
      <c r="H207" s="37">
        <v>0</v>
      </c>
      <c r="I207" s="75">
        <v>0</v>
      </c>
      <c r="J207" s="37">
        <v>0</v>
      </c>
      <c r="K207" s="37">
        <v>0</v>
      </c>
      <c r="L207" s="75">
        <v>91807</v>
      </c>
      <c r="M207" s="87" t="s">
        <v>324</v>
      </c>
      <c r="N207" t="s">
        <v>341</v>
      </c>
      <c r="O207" t="s">
        <v>343</v>
      </c>
    </row>
    <row r="208" spans="1:15" ht="12.75" x14ac:dyDescent="0.2">
      <c r="A208" t="s">
        <v>325</v>
      </c>
      <c r="B208" s="75">
        <v>47974</v>
      </c>
      <c r="C208" s="75">
        <v>70</v>
      </c>
      <c r="D208" s="37">
        <v>48044</v>
      </c>
      <c r="E208" s="37">
        <v>33521</v>
      </c>
      <c r="F208" s="37">
        <v>0</v>
      </c>
      <c r="G208" s="75">
        <v>11</v>
      </c>
      <c r="H208" s="37">
        <v>4516341</v>
      </c>
      <c r="I208" s="75">
        <v>0</v>
      </c>
      <c r="J208" s="37">
        <v>0</v>
      </c>
      <c r="K208" s="37">
        <v>24</v>
      </c>
      <c r="L208" s="75">
        <v>4597941</v>
      </c>
      <c r="M208" s="87" t="s">
        <v>326</v>
      </c>
      <c r="N208" t="s">
        <v>341</v>
      </c>
      <c r="O208" t="s">
        <v>344</v>
      </c>
    </row>
    <row r="209" spans="1:15" ht="12.75" x14ac:dyDescent="0.2">
      <c r="A209" t="s">
        <v>327</v>
      </c>
      <c r="B209" s="75">
        <v>315</v>
      </c>
      <c r="C209" s="75">
        <v>9</v>
      </c>
      <c r="D209" s="37">
        <v>324</v>
      </c>
      <c r="E209" s="37">
        <v>628</v>
      </c>
      <c r="F209" s="37">
        <v>0</v>
      </c>
      <c r="G209" s="75">
        <v>0</v>
      </c>
      <c r="H209" s="37">
        <v>0</v>
      </c>
      <c r="I209" s="75">
        <v>0</v>
      </c>
      <c r="J209" s="37">
        <v>0</v>
      </c>
      <c r="K209" s="37">
        <v>5</v>
      </c>
      <c r="L209" s="75">
        <v>957</v>
      </c>
      <c r="M209" s="87" t="s">
        <v>328</v>
      </c>
      <c r="N209" t="s">
        <v>334</v>
      </c>
      <c r="O209" t="s">
        <v>343</v>
      </c>
    </row>
    <row r="210" spans="1:15" ht="12.75" x14ac:dyDescent="0.2">
      <c r="A210" t="s">
        <v>329</v>
      </c>
      <c r="B210" s="75">
        <v>7438</v>
      </c>
      <c r="C210" s="75">
        <v>22</v>
      </c>
      <c r="D210" s="37">
        <v>7460</v>
      </c>
      <c r="E210" s="37">
        <v>9125</v>
      </c>
      <c r="F210" s="37">
        <v>0</v>
      </c>
      <c r="G210" s="75">
        <v>0</v>
      </c>
      <c r="H210" s="37">
        <v>0</v>
      </c>
      <c r="I210" s="75">
        <v>0</v>
      </c>
      <c r="J210" s="37">
        <v>0</v>
      </c>
      <c r="K210" s="37">
        <v>170</v>
      </c>
      <c r="L210" s="75">
        <v>16755</v>
      </c>
      <c r="M210" s="87" t="s">
        <v>330</v>
      </c>
      <c r="N210" t="s">
        <v>334</v>
      </c>
      <c r="O210" t="s">
        <v>343</v>
      </c>
    </row>
    <row r="211" spans="1:15" ht="12.75" x14ac:dyDescent="0.2">
      <c r="A211" t="s">
        <v>441</v>
      </c>
      <c r="B211" s="75">
        <v>51899</v>
      </c>
      <c r="C211" s="75">
        <v>13</v>
      </c>
      <c r="D211" s="37">
        <v>51912</v>
      </c>
      <c r="E211" s="37">
        <v>5344</v>
      </c>
      <c r="F211" s="37">
        <v>0</v>
      </c>
      <c r="G211" s="75">
        <v>6</v>
      </c>
      <c r="H211" s="37">
        <v>0</v>
      </c>
      <c r="I211" s="75">
        <v>0</v>
      </c>
      <c r="J211" s="37">
        <v>4358188</v>
      </c>
      <c r="K211" s="37">
        <v>8998</v>
      </c>
      <c r="L211" s="75">
        <v>3096784</v>
      </c>
      <c r="M211" s="87" t="s">
        <v>442</v>
      </c>
      <c r="N211"/>
      <c r="O211"/>
    </row>
    <row r="212" spans="1:15" ht="12.75" x14ac:dyDescent="0.2">
      <c r="A212" t="s">
        <v>443</v>
      </c>
      <c r="B212" s="75">
        <v>106180</v>
      </c>
      <c r="C212" s="75">
        <v>73072</v>
      </c>
      <c r="D212" s="37">
        <v>179252</v>
      </c>
      <c r="E212" s="37">
        <v>95550</v>
      </c>
      <c r="F212" s="37">
        <v>0</v>
      </c>
      <c r="G212" s="75">
        <v>0</v>
      </c>
      <c r="H212" s="37">
        <v>0</v>
      </c>
      <c r="I212" s="75">
        <v>0</v>
      </c>
      <c r="J212" s="37">
        <v>0</v>
      </c>
      <c r="K212" s="37">
        <v>165807</v>
      </c>
      <c r="L212" s="75">
        <v>440609</v>
      </c>
      <c r="M212" s="87" t="s">
        <v>444</v>
      </c>
      <c r="N212"/>
      <c r="O212"/>
    </row>
    <row r="213" spans="1:15" s="20" customFormat="1" ht="16.5" customHeight="1" x14ac:dyDescent="0.2">
      <c r="A213" s="17" t="s">
        <v>331</v>
      </c>
      <c r="B213" s="95">
        <f>SUM(B8:B212)</f>
        <v>25765364</v>
      </c>
      <c r="C213" s="95">
        <f t="shared" ref="C213:L213" si="0">SUM(C8:C212)</f>
        <v>5872044</v>
      </c>
      <c r="D213" s="30">
        <f t="shared" si="0"/>
        <v>31637408</v>
      </c>
      <c r="E213" s="30">
        <f t="shared" si="0"/>
        <v>6858499</v>
      </c>
      <c r="F213" s="30">
        <f t="shared" si="0"/>
        <v>5755363</v>
      </c>
      <c r="G213" s="95">
        <f t="shared" si="0"/>
        <v>1052074</v>
      </c>
      <c r="H213" s="30">
        <f t="shared" si="0"/>
        <v>63251367</v>
      </c>
      <c r="I213" s="95">
        <f t="shared" si="0"/>
        <v>5092064</v>
      </c>
      <c r="J213" s="30">
        <f t="shared" si="0"/>
        <v>4358188</v>
      </c>
      <c r="K213" s="30">
        <f t="shared" si="0"/>
        <v>5945550</v>
      </c>
      <c r="L213" s="95">
        <f t="shared" si="0"/>
        <v>122622849</v>
      </c>
      <c r="M213" s="100"/>
    </row>
    <row r="214" spans="1:15" x14ac:dyDescent="0.2">
      <c r="A214" s="33"/>
      <c r="B214" s="96"/>
      <c r="C214" s="96"/>
      <c r="D214" s="31"/>
      <c r="E214" s="31"/>
      <c r="F214" s="31"/>
      <c r="G214" s="96"/>
      <c r="H214" s="31"/>
      <c r="I214" s="96"/>
      <c r="J214" s="31"/>
      <c r="K214" s="31"/>
      <c r="L214" s="96"/>
      <c r="M214" s="96"/>
    </row>
    <row r="215" spans="1:15" x14ac:dyDescent="0.2">
      <c r="A215" s="34"/>
      <c r="B215" s="97"/>
      <c r="C215" s="97"/>
      <c r="D215" s="35"/>
      <c r="E215" s="35"/>
      <c r="F215" s="35"/>
      <c r="G215" s="97"/>
      <c r="H215" s="35"/>
      <c r="I215" s="97"/>
      <c r="J215" s="35"/>
      <c r="K215" s="35"/>
      <c r="L215" s="97"/>
      <c r="M215" s="96"/>
    </row>
    <row r="216" spans="1:15" x14ac:dyDescent="0.2">
      <c r="A216" s="26" t="s">
        <v>348</v>
      </c>
      <c r="B216" s="98"/>
      <c r="C216" s="98"/>
      <c r="D216" s="36"/>
      <c r="E216" s="36"/>
      <c r="F216" s="36"/>
      <c r="G216" s="98"/>
      <c r="H216" s="36"/>
      <c r="I216" s="98"/>
      <c r="J216" s="36"/>
      <c r="K216" s="36"/>
      <c r="L216" s="98"/>
      <c r="M216" s="96"/>
    </row>
    <row r="217" spans="1:15" ht="12" x14ac:dyDescent="0.2">
      <c r="A217" s="28" t="s">
        <v>349</v>
      </c>
      <c r="B217" s="99"/>
      <c r="C217" s="99"/>
      <c r="D217" s="28"/>
      <c r="E217" s="28"/>
      <c r="F217" s="28"/>
      <c r="G217" s="99"/>
      <c r="H217" s="28"/>
      <c r="I217" s="99"/>
      <c r="J217" s="28"/>
      <c r="K217" s="28"/>
      <c r="L217" s="99"/>
      <c r="M217" s="96"/>
    </row>
    <row r="218" spans="1:15" ht="13.5" x14ac:dyDescent="0.2">
      <c r="A218" s="120" t="s">
        <v>446</v>
      </c>
      <c r="B218" s="120"/>
      <c r="C218" s="120"/>
      <c r="D218" s="120"/>
      <c r="E218" s="120"/>
      <c r="F218" s="120"/>
      <c r="G218" s="120"/>
      <c r="H218" s="120"/>
      <c r="I218" s="120"/>
      <c r="J218" s="120"/>
      <c r="K218" s="120"/>
      <c r="L218" s="120"/>
      <c r="M218" s="96"/>
    </row>
    <row r="219" spans="1:15" ht="13.5" x14ac:dyDescent="0.2">
      <c r="A219" s="120" t="s">
        <v>351</v>
      </c>
      <c r="B219" s="120"/>
      <c r="C219" s="120"/>
      <c r="D219" s="120"/>
      <c r="E219" s="120"/>
      <c r="F219" s="120"/>
      <c r="G219" s="120"/>
      <c r="H219" s="120"/>
      <c r="I219" s="120"/>
      <c r="J219" s="120"/>
      <c r="K219" s="120"/>
      <c r="L219" s="120"/>
      <c r="M219" s="96"/>
    </row>
    <row r="220" spans="1:15" ht="13.5" x14ac:dyDescent="0.2">
      <c r="A220" s="120" t="s">
        <v>352</v>
      </c>
      <c r="B220" s="120"/>
      <c r="C220" s="120"/>
      <c r="D220" s="120"/>
      <c r="E220" s="120"/>
      <c r="F220" s="120"/>
      <c r="G220" s="120"/>
      <c r="H220" s="120"/>
      <c r="I220" s="120"/>
      <c r="J220" s="120"/>
      <c r="K220" s="120"/>
      <c r="L220" s="120"/>
      <c r="M220" s="96"/>
    </row>
    <row r="221" spans="1:15" ht="13.5" x14ac:dyDescent="0.2">
      <c r="A221" s="120" t="s">
        <v>495</v>
      </c>
      <c r="B221" s="120"/>
      <c r="C221" s="120"/>
      <c r="D221" s="120"/>
      <c r="E221" s="120"/>
      <c r="F221" s="120"/>
      <c r="G221" s="120"/>
      <c r="H221" s="120"/>
      <c r="I221" s="120"/>
      <c r="J221" s="120"/>
      <c r="K221" s="120"/>
      <c r="L221" s="120"/>
      <c r="M221" s="96"/>
    </row>
    <row r="222" spans="1:15" ht="12" x14ac:dyDescent="0.2">
      <c r="A222" s="131" t="s">
        <v>447</v>
      </c>
      <c r="B222" s="131"/>
      <c r="C222" s="131"/>
      <c r="D222" s="131"/>
      <c r="E222" s="131"/>
      <c r="F222" s="131"/>
      <c r="G222" s="131"/>
      <c r="H222" s="131"/>
      <c r="I222" s="131"/>
      <c r="J222" s="131"/>
      <c r="K222" s="131"/>
      <c r="L222" s="131"/>
      <c r="M222" s="96"/>
    </row>
    <row r="223" spans="1:15" ht="13.5" x14ac:dyDescent="0.2">
      <c r="A223" s="120" t="s">
        <v>354</v>
      </c>
      <c r="B223" s="120"/>
      <c r="C223" s="120"/>
      <c r="D223" s="120"/>
      <c r="E223" s="120"/>
      <c r="F223" s="120"/>
      <c r="G223" s="120"/>
      <c r="H223" s="120"/>
      <c r="I223" s="120"/>
      <c r="J223" s="120"/>
      <c r="K223" s="120"/>
      <c r="L223" s="120"/>
      <c r="M223" s="96"/>
    </row>
    <row r="224" spans="1:15" s="20" customFormat="1" ht="16.5" customHeight="1" x14ac:dyDescent="0.2">
      <c r="A224" s="120" t="s">
        <v>355</v>
      </c>
      <c r="B224" s="120"/>
      <c r="C224" s="120"/>
      <c r="D224" s="120"/>
      <c r="E224" s="120"/>
      <c r="F224" s="120"/>
      <c r="G224" s="120"/>
      <c r="H224" s="120"/>
      <c r="I224" s="120"/>
      <c r="J224" s="120"/>
      <c r="K224" s="120"/>
      <c r="L224" s="120"/>
      <c r="M224" s="101"/>
    </row>
    <row r="225" spans="1:13" ht="13.5" x14ac:dyDescent="0.2">
      <c r="A225" s="120" t="s">
        <v>356</v>
      </c>
      <c r="B225" s="120"/>
      <c r="C225" s="120"/>
      <c r="D225" s="120"/>
      <c r="E225" s="120"/>
      <c r="F225" s="120"/>
      <c r="G225" s="120"/>
      <c r="H225" s="120"/>
      <c r="I225" s="120"/>
      <c r="J225" s="120"/>
      <c r="K225" s="120"/>
      <c r="L225" s="120"/>
      <c r="M225" s="96"/>
    </row>
    <row r="226" spans="1:13" ht="13.5" x14ac:dyDescent="0.2">
      <c r="A226" s="120" t="s">
        <v>357</v>
      </c>
      <c r="B226" s="120"/>
      <c r="C226" s="120"/>
      <c r="D226" s="120"/>
      <c r="E226" s="120"/>
      <c r="F226" s="120"/>
      <c r="G226" s="120"/>
      <c r="H226" s="120"/>
      <c r="I226" s="120"/>
      <c r="J226" s="120"/>
      <c r="K226" s="120"/>
      <c r="L226" s="120"/>
      <c r="M226" s="96"/>
    </row>
    <row r="227" spans="1:13" ht="13.5" x14ac:dyDescent="0.2">
      <c r="A227" s="118" t="s">
        <v>464</v>
      </c>
      <c r="B227" s="118"/>
      <c r="C227" s="118"/>
      <c r="D227" s="118"/>
      <c r="E227" s="118"/>
      <c r="F227" s="118"/>
      <c r="G227" s="118"/>
      <c r="H227" s="118"/>
      <c r="I227" s="118"/>
      <c r="J227" s="118"/>
      <c r="K227" s="118"/>
      <c r="L227" s="118"/>
      <c r="M227" s="96"/>
    </row>
    <row r="228" spans="1:13" ht="12.75" x14ac:dyDescent="0.2">
      <c r="A228" s="128" t="s">
        <v>476</v>
      </c>
      <c r="B228" s="129"/>
      <c r="C228" s="129"/>
      <c r="D228" s="129"/>
      <c r="E228" s="129"/>
      <c r="F228" s="129"/>
      <c r="G228" s="129"/>
      <c r="H228" s="129"/>
      <c r="I228" s="129"/>
      <c r="J228" s="129"/>
      <c r="K228" s="129"/>
      <c r="L228" s="129"/>
      <c r="M228" s="96"/>
    </row>
    <row r="229" spans="1:13" ht="12.75" x14ac:dyDescent="0.2">
      <c r="A229" s="127" t="s">
        <v>477</v>
      </c>
      <c r="B229" s="127"/>
      <c r="C229" s="127"/>
      <c r="D229" s="127"/>
      <c r="E229" s="127"/>
      <c r="F229" s="127"/>
      <c r="G229" s="127"/>
      <c r="H229" s="127"/>
      <c r="I229" s="127"/>
      <c r="J229" s="127"/>
      <c r="K229" s="127"/>
      <c r="L229" s="127"/>
      <c r="M229" s="96"/>
    </row>
    <row r="230" spans="1:13" ht="12.75" x14ac:dyDescent="0.2">
      <c r="A230" s="128" t="s">
        <v>478</v>
      </c>
      <c r="B230" s="129"/>
      <c r="C230" s="129"/>
      <c r="D230" s="129"/>
      <c r="E230" s="129"/>
      <c r="F230" s="129"/>
      <c r="G230" s="129"/>
      <c r="H230" s="129"/>
      <c r="I230" s="129"/>
      <c r="J230" s="129"/>
      <c r="K230" s="129"/>
      <c r="L230" s="129"/>
      <c r="M230" s="96"/>
    </row>
    <row r="231" spans="1:13" ht="12.75" x14ac:dyDescent="0.2">
      <c r="A231" s="128" t="s">
        <v>483</v>
      </c>
      <c r="B231" s="129"/>
      <c r="C231" s="129"/>
      <c r="D231" s="129"/>
      <c r="E231" s="129"/>
      <c r="F231" s="129"/>
      <c r="G231" s="129"/>
      <c r="H231" s="129"/>
      <c r="I231" s="129"/>
      <c r="J231" s="129"/>
      <c r="K231" s="129"/>
      <c r="L231" s="129"/>
      <c r="M231" s="96"/>
    </row>
    <row r="232" spans="1:13" ht="12.75" x14ac:dyDescent="0.2">
      <c r="A232" s="128" t="s">
        <v>479</v>
      </c>
      <c r="B232" s="129"/>
      <c r="C232" s="129"/>
      <c r="D232" s="129"/>
      <c r="E232" s="129"/>
      <c r="F232" s="129"/>
      <c r="G232" s="129"/>
      <c r="H232" s="129"/>
      <c r="I232" s="129"/>
      <c r="J232" s="129"/>
      <c r="K232" s="129"/>
      <c r="L232" s="129"/>
      <c r="M232" s="96"/>
    </row>
    <row r="233" spans="1:13" ht="12.75" x14ac:dyDescent="0.2">
      <c r="A233" s="127" t="s">
        <v>480</v>
      </c>
      <c r="B233" s="127"/>
      <c r="C233" s="127"/>
      <c r="D233" s="127"/>
      <c r="E233" s="127"/>
      <c r="F233" s="127"/>
      <c r="G233" s="127"/>
      <c r="H233" s="127"/>
      <c r="I233" s="127"/>
      <c r="J233" s="127"/>
      <c r="K233" s="127"/>
      <c r="L233" s="127"/>
      <c r="M233" s="96"/>
    </row>
    <row r="234" spans="1:13" s="20" customFormat="1" ht="16.5" customHeight="1" x14ac:dyDescent="0.2">
      <c r="A234" s="31"/>
      <c r="B234" s="82"/>
      <c r="C234" s="82"/>
      <c r="D234" s="4"/>
      <c r="E234" s="4"/>
      <c r="F234" s="4"/>
      <c r="G234" s="82"/>
      <c r="H234" s="4"/>
      <c r="I234" s="82"/>
      <c r="J234" s="4"/>
      <c r="K234" s="4"/>
      <c r="L234" s="82"/>
      <c r="M234" s="96"/>
    </row>
    <row r="235" spans="1:13" ht="13.35" customHeight="1" x14ac:dyDescent="0.2">
      <c r="M235" s="96"/>
    </row>
    <row r="236" spans="1:13" x14ac:dyDescent="0.2">
      <c r="M236" s="96"/>
    </row>
    <row r="237" spans="1:13" ht="15" customHeight="1" x14ac:dyDescent="0.2">
      <c r="M237" s="96"/>
    </row>
    <row r="238" spans="1:13" ht="15" customHeight="1" x14ac:dyDescent="0.2">
      <c r="M238" s="96"/>
    </row>
    <row r="239" spans="1:13" ht="48" customHeight="1" x14ac:dyDescent="0.2">
      <c r="M239" s="96"/>
    </row>
    <row r="240" spans="1:13" ht="28.5" customHeight="1" x14ac:dyDescent="0.2">
      <c r="M240" s="96"/>
    </row>
    <row r="241" spans="13:13" ht="30.6" customHeight="1" x14ac:dyDescent="0.2">
      <c r="M241" s="96"/>
    </row>
    <row r="242" spans="13:13" ht="31.5" customHeight="1" x14ac:dyDescent="0.2">
      <c r="M242" s="96"/>
    </row>
    <row r="243" spans="13:13" ht="15" customHeight="1" x14ac:dyDescent="0.2">
      <c r="M243" s="96"/>
    </row>
    <row r="244" spans="13:13" ht="41.45" customHeight="1" x14ac:dyDescent="0.2">
      <c r="M244" s="96"/>
    </row>
    <row r="245" spans="13:13" ht="15" customHeight="1" x14ac:dyDescent="0.2">
      <c r="M245" s="96"/>
    </row>
    <row r="246" spans="13:13" ht="68.25" customHeight="1" x14ac:dyDescent="0.2">
      <c r="M246" s="96"/>
    </row>
    <row r="247" spans="13:13" ht="29.25" customHeight="1" x14ac:dyDescent="0.2">
      <c r="M247" s="96"/>
    </row>
    <row r="248" spans="13:13" ht="15" customHeight="1" x14ac:dyDescent="0.2"/>
    <row r="249" spans="13:13" ht="28.5" customHeight="1" x14ac:dyDescent="0.2"/>
    <row r="250" spans="13:13" ht="15" customHeight="1" x14ac:dyDescent="0.2"/>
    <row r="251" spans="13:13" ht="20.100000000000001" customHeight="1" x14ac:dyDescent="0.2"/>
    <row r="252" spans="13:13" ht="16.5" customHeight="1" x14ac:dyDescent="0.2"/>
    <row r="253" spans="13:13" ht="30.75" customHeight="1" x14ac:dyDescent="0.2"/>
    <row r="254" spans="13:13" ht="27.6" customHeight="1" x14ac:dyDescent="0.2"/>
    <row r="255" spans="13:13" x14ac:dyDescent="0.2">
      <c r="M255" s="96"/>
    </row>
  </sheetData>
  <mergeCells count="18">
    <mergeCell ref="A227:L227"/>
    <mergeCell ref="A1:L1"/>
    <mergeCell ref="A5:L5"/>
    <mergeCell ref="A218:L218"/>
    <mergeCell ref="A219:L219"/>
    <mergeCell ref="A220:L220"/>
    <mergeCell ref="A221:L221"/>
    <mergeCell ref="A222:L222"/>
    <mergeCell ref="A223:L223"/>
    <mergeCell ref="A224:L224"/>
    <mergeCell ref="A225:L225"/>
    <mergeCell ref="A226:L226"/>
    <mergeCell ref="A233:L233"/>
    <mergeCell ref="A228:L228"/>
    <mergeCell ref="A229:L229"/>
    <mergeCell ref="A230:L230"/>
    <mergeCell ref="A231:L231"/>
    <mergeCell ref="A232:L232"/>
  </mergeCells>
  <conditionalFormatting sqref="A8:M212">
    <cfRule type="expression" dxfId="3" priority="2">
      <formula>MOD(ROW(),2)=0</formula>
    </cfRule>
  </conditionalFormatting>
  <hyperlinks>
    <hyperlink ref="B3" r:id="rId1" xr:uid="{F778C89F-0127-4A0E-B812-21254DFF3D11}"/>
    <hyperlink ref="B4" r:id="rId2" xr:uid="{98A17F3B-B9BE-4B63-9B6C-4ED3543C04C7}"/>
  </hyperlinks>
  <printOptions gridLines="1"/>
  <pageMargins left="0.45" right="0.48" top="0.51181102362204722" bottom="0.87" header="0.51181102362204722" footer="0.34"/>
  <pageSetup paperSize="9" scale="38" fitToHeight="0" orientation="portrait" r:id="rId3"/>
  <headerFooter alignWithMargins="0">
    <oddFooter>&amp;L&amp;9PGDS/DOS&amp;C&amp;9&amp;P/&amp;N&amp;R&amp;9Printed: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B991-77B9-437A-BAE2-1DA3BF654C5D}">
  <sheetPr>
    <tabColor theme="4" tint="0.79998168889431442"/>
  </sheetPr>
  <dimension ref="A1:L11"/>
  <sheetViews>
    <sheetView workbookViewId="0">
      <selection activeCell="B1" sqref="B1:L1"/>
    </sheetView>
  </sheetViews>
  <sheetFormatPr baseColWidth="10" defaultRowHeight="12.75" x14ac:dyDescent="0.2"/>
  <sheetData>
    <row r="1" spans="1:12" ht="76.5" x14ac:dyDescent="0.2">
      <c r="A1" s="22" t="s">
        <v>332</v>
      </c>
      <c r="B1" s="93" t="s">
        <v>614</v>
      </c>
      <c r="C1" s="93" t="s">
        <v>613</v>
      </c>
      <c r="D1" s="12" t="s">
        <v>7</v>
      </c>
      <c r="E1" s="13" t="s">
        <v>8</v>
      </c>
      <c r="F1" s="13" t="s">
        <v>9</v>
      </c>
      <c r="G1" s="74" t="s">
        <v>610</v>
      </c>
      <c r="H1" s="13" t="s">
        <v>10</v>
      </c>
      <c r="I1" s="74" t="s">
        <v>611</v>
      </c>
      <c r="J1" s="14" t="s">
        <v>11</v>
      </c>
      <c r="K1" s="13" t="s">
        <v>12</v>
      </c>
      <c r="L1" s="74" t="s">
        <v>13</v>
      </c>
    </row>
    <row r="2" spans="1:12" x14ac:dyDescent="0.2">
      <c r="A2" s="16" t="s">
        <v>333</v>
      </c>
      <c r="B2" s="78">
        <f>SUMIF(pais_origen!$N$8:$N$212, $A2, pais_origen!B$8:B$212)</f>
        <v>5938419</v>
      </c>
      <c r="C2" s="78">
        <f>SUMIF(pais_origen!$N$8:$N$212, $A2, pais_origen!C$8:C$212)</f>
        <v>194</v>
      </c>
      <c r="D2" s="16">
        <f>SUMIF(pais_origen!$N$8:$N$212, $A2, pais_origen!D$8:D$212)</f>
        <v>5938613</v>
      </c>
      <c r="E2" s="16">
        <f>SUMIF(pais_origen!$N$8:$N$212, $A2, pais_origen!E$8:E$212)</f>
        <v>816828</v>
      </c>
      <c r="F2" s="16">
        <f>SUMIF(pais_origen!$N$8:$N$212, $A2, pais_origen!F$8:F$212)</f>
        <v>0</v>
      </c>
      <c r="G2" s="78">
        <f>SUMIF(pais_origen!$N$8:$N$212, $A2, pais_origen!G$8:G$212)</f>
        <v>581131</v>
      </c>
      <c r="H2" s="16">
        <f>SUMIF(pais_origen!$N$8:$N$212, $A2, pais_origen!H$8:H$212)</f>
        <v>16719267</v>
      </c>
      <c r="I2" s="78">
        <f>SUMIF(pais_origen!$N$8:$N$212, $A2, pais_origen!I$8:I$212)</f>
        <v>534293</v>
      </c>
      <c r="J2" s="16">
        <f>SUMIF(pais_origen!$N$8:$N$212, $A2, pais_origen!J$8:J$212)</f>
        <v>0</v>
      </c>
      <c r="K2" s="16">
        <f>SUMIF(pais_origen!$N$8:$N$212, $A2, pais_origen!K$8:K$212)</f>
        <v>98247</v>
      </c>
      <c r="L2" s="78">
        <f>SUMIF(pais_origen!$N$8:$N$212, $A2, pais_origen!L$8:L$212)</f>
        <v>24688379</v>
      </c>
    </row>
    <row r="3" spans="1:12" x14ac:dyDescent="0.2">
      <c r="A3" s="16" t="s">
        <v>334</v>
      </c>
      <c r="B3" s="78">
        <f>SUMIF(pais_origen!$N$8:$N$212, $A3, pais_origen!B$8:B$212)</f>
        <v>1016547</v>
      </c>
      <c r="C3" s="78">
        <f>SUMIF(pais_origen!$N$8:$N$212, $A3, pais_origen!C$8:C$212)</f>
        <v>83</v>
      </c>
      <c r="D3" s="16">
        <f>SUMIF(pais_origen!$N$8:$N$212, $A3, pais_origen!D$8:D$212)</f>
        <v>1016630</v>
      </c>
      <c r="E3" s="16">
        <f>SUMIF(pais_origen!$N$8:$N$212, $A3, pais_origen!E$8:E$212)</f>
        <v>212366</v>
      </c>
      <c r="F3" s="16">
        <f>SUMIF(pais_origen!$N$8:$N$212, $A3, pais_origen!F$8:F$212)</f>
        <v>0</v>
      </c>
      <c r="G3" s="78">
        <f>SUMIF(pais_origen!$N$8:$N$212, $A3, pais_origen!G$8:G$212)</f>
        <v>1808</v>
      </c>
      <c r="H3" s="16">
        <f>SUMIF(pais_origen!$N$8:$N$212, $A3, pais_origen!H$8:H$212)</f>
        <v>6834554</v>
      </c>
      <c r="I3" s="78">
        <f>SUMIF(pais_origen!$N$8:$N$212, $A3, pais_origen!I$8:I$212)</f>
        <v>2114080</v>
      </c>
      <c r="J3" s="16">
        <f>SUMIF(pais_origen!$N$8:$N$212, $A3, pais_origen!J$8:J$212)</f>
        <v>0</v>
      </c>
      <c r="K3" s="16">
        <f>SUMIF(pais_origen!$N$8:$N$212, $A3, pais_origen!K$8:K$212)</f>
        <v>32520</v>
      </c>
      <c r="L3" s="78">
        <f>SUMIF(pais_origen!$N$8:$N$212, $A3, pais_origen!L$8:L$212)</f>
        <v>10211958</v>
      </c>
    </row>
    <row r="4" spans="1:12" x14ac:dyDescent="0.2">
      <c r="A4" s="16" t="s">
        <v>335</v>
      </c>
      <c r="B4" s="78">
        <f>SUMIF(pais_origen!$N$8:$N$212, $A4, pais_origen!B$8:B$212)</f>
        <v>1740705</v>
      </c>
      <c r="C4" s="78">
        <f>SUMIF(pais_origen!$N$8:$N$212, $A4, pais_origen!C$8:C$212)</f>
        <v>1177</v>
      </c>
      <c r="D4" s="16">
        <f>SUMIF(pais_origen!$N$8:$N$212, $A4, pais_origen!D$8:D$212)</f>
        <v>1741882</v>
      </c>
      <c r="E4" s="16">
        <f>SUMIF(pais_origen!$N$8:$N$212, $A4, pais_origen!E$8:E$212)</f>
        <v>417331</v>
      </c>
      <c r="F4" s="16">
        <f>SUMIF(pais_origen!$N$8:$N$212, $A4, pais_origen!F$8:F$212)</f>
        <v>0</v>
      </c>
      <c r="G4" s="78">
        <f>SUMIF(pais_origen!$N$8:$N$212, $A4, pais_origen!G$8:G$212)</f>
        <v>48855</v>
      </c>
      <c r="H4" s="16">
        <f>SUMIF(pais_origen!$N$8:$N$212, $A4, pais_origen!H$8:H$212)</f>
        <v>7887599</v>
      </c>
      <c r="I4" s="78">
        <f>SUMIF(pais_origen!$N$8:$N$212, $A4, pais_origen!I$8:I$212)</f>
        <v>455882</v>
      </c>
      <c r="J4" s="16">
        <f>SUMIF(pais_origen!$N$8:$N$212, $A4, pais_origen!J$8:J$212)</f>
        <v>0</v>
      </c>
      <c r="K4" s="16">
        <f>SUMIF(pais_origen!$N$8:$N$212, $A4, pais_origen!K$8:K$212)</f>
        <v>163030</v>
      </c>
      <c r="L4" s="78">
        <f>SUMIF(pais_origen!$N$8:$N$212, $A4, pais_origen!L$8:L$212)</f>
        <v>10714579</v>
      </c>
    </row>
    <row r="5" spans="1:12" x14ac:dyDescent="0.2">
      <c r="A5" s="16" t="s">
        <v>336</v>
      </c>
      <c r="B5" s="78">
        <f t="shared" ref="B5:L5" si="0">SUM(B2:B4)</f>
        <v>8695671</v>
      </c>
      <c r="C5" s="78">
        <f t="shared" si="0"/>
        <v>1454</v>
      </c>
      <c r="D5" s="16">
        <f t="shared" si="0"/>
        <v>8697125</v>
      </c>
      <c r="E5" s="16">
        <f t="shared" si="0"/>
        <v>1446525</v>
      </c>
      <c r="F5" s="16">
        <f t="shared" si="0"/>
        <v>0</v>
      </c>
      <c r="G5" s="78">
        <f t="shared" si="0"/>
        <v>631794</v>
      </c>
      <c r="H5" s="16">
        <f t="shared" si="0"/>
        <v>31441420</v>
      </c>
      <c r="I5" s="78">
        <f t="shared" si="0"/>
        <v>3104255</v>
      </c>
      <c r="J5" s="16">
        <f t="shared" si="0"/>
        <v>0</v>
      </c>
      <c r="K5" s="16">
        <f t="shared" si="0"/>
        <v>293797</v>
      </c>
      <c r="L5" s="78">
        <f t="shared" si="0"/>
        <v>45614916</v>
      </c>
    </row>
    <row r="6" spans="1:12" x14ac:dyDescent="0.2">
      <c r="A6" s="16" t="s">
        <v>337</v>
      </c>
      <c r="B6" s="78">
        <f>SUMIF(pais_origen!$N$8:$N$212, $A6, pais_origen!B$8:B$212)</f>
        <v>747817</v>
      </c>
      <c r="C6" s="78">
        <f>SUMIF(pais_origen!$N$8:$N$212, $A6, pais_origen!C$8:C$212)</f>
        <v>113697</v>
      </c>
      <c r="D6" s="16">
        <f>SUMIF(pais_origen!$N$8:$N$212, $A6, pais_origen!D$8:D$212)</f>
        <v>861514</v>
      </c>
      <c r="E6" s="16">
        <f>SUMIF(pais_origen!$N$8:$N$212, $A6, pais_origen!E$8:E$212)</f>
        <v>3330751</v>
      </c>
      <c r="F6" s="16">
        <f>SUMIF(pais_origen!$N$8:$N$212, $A6, pais_origen!F$8:F$212)</f>
        <v>5755363</v>
      </c>
      <c r="G6" s="78">
        <f>SUMIF(pais_origen!$N$8:$N$212, $A6, pais_origen!G$8:G$212)</f>
        <v>5</v>
      </c>
      <c r="H6" s="16">
        <f>SUMIF(pais_origen!$N$8:$N$212, $A6, pais_origen!H$8:H$212)</f>
        <v>7813275</v>
      </c>
      <c r="I6" s="78">
        <f>SUMIF(pais_origen!$N$8:$N$212, $A6, pais_origen!I$8:I$212)</f>
        <v>0</v>
      </c>
      <c r="J6" s="16">
        <f>SUMIF(pais_origen!$N$8:$N$212, $A6, pais_origen!J$8:J$212)</f>
        <v>0</v>
      </c>
      <c r="K6" s="16">
        <f>SUMIF(pais_origen!$N$8:$N$212, $A6, pais_origen!K$8:K$212)</f>
        <v>4228532</v>
      </c>
      <c r="L6" s="78">
        <f>SUMIF(pais_origen!$N$8:$N$212, $A6, pais_origen!L$8:L$212)</f>
        <v>21989440</v>
      </c>
    </row>
    <row r="7" spans="1:12" x14ac:dyDescent="0.2">
      <c r="A7" s="16" t="s">
        <v>339</v>
      </c>
      <c r="B7" s="78">
        <f>SUMIF(pais_origen!$N$8:$N$212, $A7, pais_origen!B$8:B$212)</f>
        <v>4614895</v>
      </c>
      <c r="C7" s="78">
        <f>SUMIF(pais_origen!$N$8:$N$212, $A7, pais_origen!C$8:C$212)</f>
        <v>3771087</v>
      </c>
      <c r="D7" s="16">
        <f>SUMIF(pais_origen!$N$8:$N$212, $A7, pais_origen!D$8:D$212)</f>
        <v>8385982</v>
      </c>
      <c r="E7" s="16">
        <f>SUMIF(pais_origen!$N$8:$N$212, $A7, pais_origen!E$8:E$212)</f>
        <v>993931</v>
      </c>
      <c r="F7" s="16">
        <f>SUMIF(pais_origen!$N$8:$N$212, $A7, pais_origen!F$8:F$212)</f>
        <v>0</v>
      </c>
      <c r="G7" s="78">
        <f>SUMIF(pais_origen!$N$8:$N$212, $A7, pais_origen!G$8:G$212)</f>
        <v>57951</v>
      </c>
      <c r="H7" s="16">
        <f>SUMIF(pais_origen!$N$8:$N$212, $A7, pais_origen!H$8:H$212)</f>
        <v>6039085</v>
      </c>
      <c r="I7" s="78">
        <f>SUMIF(pais_origen!$N$8:$N$212, $A7, pais_origen!I$8:I$212)</f>
        <v>449303</v>
      </c>
      <c r="J7" s="16">
        <f>SUMIF(pais_origen!$N$8:$N$212, $A7, pais_origen!J$8:J$212)</f>
        <v>0</v>
      </c>
      <c r="K7" s="16">
        <f>SUMIF(pais_origen!$N$8:$N$212, $A7, pais_origen!K$8:K$212)</f>
        <v>220212</v>
      </c>
      <c r="L7" s="78">
        <f>SUMIF(pais_origen!$N$8:$N$212, $A7, pais_origen!L$8:L$212)</f>
        <v>16146464</v>
      </c>
    </row>
    <row r="8" spans="1:12" x14ac:dyDescent="0.2">
      <c r="A8" s="16" t="s">
        <v>340</v>
      </c>
      <c r="B8" s="78">
        <f>SUMIF(pais_origen!$N$8:$N$212, $A8, pais_origen!B$8:B$212)</f>
        <v>4576966</v>
      </c>
      <c r="C8" s="78">
        <f>SUMIF(pais_origen!$N$8:$N$212, $A8, pais_origen!C$8:C$212)</f>
        <v>1904559</v>
      </c>
      <c r="D8" s="16">
        <f>SUMIF(pais_origen!$N$8:$N$212, $A8, pais_origen!D$8:D$212)</f>
        <v>6481525</v>
      </c>
      <c r="E8" s="16">
        <f>SUMIF(pais_origen!$N$8:$N$212, $A8, pais_origen!E$8:E$212)</f>
        <v>431625</v>
      </c>
      <c r="F8" s="16">
        <f>SUMIF(pais_origen!$N$8:$N$212, $A8, pais_origen!F$8:F$212)</f>
        <v>0</v>
      </c>
      <c r="G8" s="78">
        <f>SUMIF(pais_origen!$N$8:$N$212, $A8, pais_origen!G$8:G$212)</f>
        <v>324590</v>
      </c>
      <c r="H8" s="16">
        <f>SUMIF(pais_origen!$N$8:$N$212, $A8, pais_origen!H$8:H$212)</f>
        <v>4943593</v>
      </c>
      <c r="I8" s="78">
        <f>SUMIF(pais_origen!$N$8:$N$212, $A8, pais_origen!I$8:I$212)</f>
        <v>1318794</v>
      </c>
      <c r="J8" s="16">
        <f>SUMIF(pais_origen!$N$8:$N$212, $A8, pais_origen!J$8:J$212)</f>
        <v>0</v>
      </c>
      <c r="K8" s="16">
        <f>SUMIF(pais_origen!$N$8:$N$212, $A8, pais_origen!K$8:K$212)</f>
        <v>990198</v>
      </c>
      <c r="L8" s="78">
        <f>SUMIF(pais_origen!$N$8:$N$212, $A8, pais_origen!L$8:L$212)</f>
        <v>14490325</v>
      </c>
    </row>
    <row r="9" spans="1:12" x14ac:dyDescent="0.2">
      <c r="A9" s="16" t="s">
        <v>341</v>
      </c>
      <c r="B9" s="78">
        <f>SUMIF(pais_origen!$N$8:$N$212, $A9, pais_origen!B$8:B$212)</f>
        <v>6971936</v>
      </c>
      <c r="C9" s="78">
        <f>SUMIF(pais_origen!$N$8:$N$212, $A9, pais_origen!C$8:C$212)</f>
        <v>8162</v>
      </c>
      <c r="D9" s="16">
        <f>SUMIF(pais_origen!$N$8:$N$212, $A9, pais_origen!D$8:D$212)</f>
        <v>6980098</v>
      </c>
      <c r="E9" s="16">
        <f>SUMIF(pais_origen!$N$8:$N$212, $A9, pais_origen!E$8:E$212)</f>
        <v>554773</v>
      </c>
      <c r="F9" s="16">
        <f>SUMIF(pais_origen!$N$8:$N$212, $A9, pais_origen!F$8:F$212)</f>
        <v>0</v>
      </c>
      <c r="G9" s="78">
        <f>SUMIF(pais_origen!$N$8:$N$212, $A9, pais_origen!G$8:G$212)</f>
        <v>37728</v>
      </c>
      <c r="H9" s="16">
        <f>SUMIF(pais_origen!$N$8:$N$212, $A9, pais_origen!H$8:H$212)</f>
        <v>13013994</v>
      </c>
      <c r="I9" s="78">
        <f>SUMIF(pais_origen!$N$8:$N$212, $A9, pais_origen!I$8:I$212)</f>
        <v>219712</v>
      </c>
      <c r="J9" s="16">
        <f>SUMIF(pais_origen!$N$8:$N$212, $A9, pais_origen!J$8:J$212)</f>
        <v>0</v>
      </c>
      <c r="K9" s="16">
        <f>SUMIF(pais_origen!$N$8:$N$212, $A9, pais_origen!K$8:K$212)</f>
        <v>38006</v>
      </c>
      <c r="L9" s="78">
        <f>SUMIF(pais_origen!$N$8:$N$212, $A9, pais_origen!L$8:L$212)</f>
        <v>20844311</v>
      </c>
    </row>
    <row r="10" spans="1:12" x14ac:dyDescent="0.2">
      <c r="A10" s="16" t="s">
        <v>445</v>
      </c>
      <c r="B10" s="78">
        <f>pais_origen!B213-SUM(B5:B9)</f>
        <v>158079</v>
      </c>
      <c r="C10" s="78">
        <f>pais_origen!C213-SUM(C5:C9)</f>
        <v>73085</v>
      </c>
      <c r="D10" s="16">
        <f>pais_origen!D213-SUM(D5:D9)</f>
        <v>231164</v>
      </c>
      <c r="E10" s="16">
        <f>pais_origen!E213-SUM(E5:E9)</f>
        <v>100894</v>
      </c>
      <c r="F10" s="16">
        <f>pais_origen!F213-SUM(F5:F9)</f>
        <v>0</v>
      </c>
      <c r="G10" s="78">
        <f>pais_origen!G213-SUM(G5:G9)</f>
        <v>6</v>
      </c>
      <c r="H10" s="16">
        <f>pais_origen!H213-SUM(H5:H9)</f>
        <v>0</v>
      </c>
      <c r="I10" s="78">
        <f>pais_origen!I213-SUM(I5:I9)</f>
        <v>0</v>
      </c>
      <c r="J10" s="16">
        <f>pais_origen!J213-SUM(J5:J9)</f>
        <v>4358188</v>
      </c>
      <c r="K10" s="16">
        <f>pais_origen!K213-SUM(K5:K9)</f>
        <v>174805</v>
      </c>
      <c r="L10" s="78">
        <f>pais_origen!L213-SUM(L5:L9)</f>
        <v>3537393</v>
      </c>
    </row>
    <row r="11" spans="1:12" x14ac:dyDescent="0.2">
      <c r="A11" s="32" t="s">
        <v>331</v>
      </c>
      <c r="B11" s="79">
        <f t="shared" ref="B11:L11" si="1">SUM(B5:B10)</f>
        <v>25765364</v>
      </c>
      <c r="C11" s="79">
        <f t="shared" si="1"/>
        <v>5872044</v>
      </c>
      <c r="D11" s="19">
        <f t="shared" si="1"/>
        <v>31637408</v>
      </c>
      <c r="E11" s="19">
        <f t="shared" si="1"/>
        <v>6858499</v>
      </c>
      <c r="F11" s="19">
        <f t="shared" si="1"/>
        <v>5755363</v>
      </c>
      <c r="G11" s="79">
        <f t="shared" si="1"/>
        <v>1052074</v>
      </c>
      <c r="H11" s="19">
        <f t="shared" si="1"/>
        <v>63251367</v>
      </c>
      <c r="I11" s="79">
        <f t="shared" si="1"/>
        <v>5092064</v>
      </c>
      <c r="J11" s="19">
        <f t="shared" si="1"/>
        <v>4358188</v>
      </c>
      <c r="K11" s="19">
        <f t="shared" si="1"/>
        <v>5945550</v>
      </c>
      <c r="L11" s="79">
        <f t="shared" si="1"/>
        <v>122622849</v>
      </c>
    </row>
  </sheetData>
  <conditionalFormatting sqref="A2:L10">
    <cfRule type="expression" dxfId="2" priority="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3DAB-002B-4BA8-9001-2EDED38CF75A}">
  <sheetPr>
    <tabColor theme="4" tint="0.79998168889431442"/>
  </sheetPr>
  <dimension ref="A1:L9"/>
  <sheetViews>
    <sheetView tabSelected="1" workbookViewId="0">
      <selection activeCell="B1" sqref="B1:L1"/>
    </sheetView>
  </sheetViews>
  <sheetFormatPr baseColWidth="10" defaultRowHeight="12.75" x14ac:dyDescent="0.2"/>
  <sheetData>
    <row r="1" spans="1:12" ht="76.5" x14ac:dyDescent="0.2">
      <c r="A1" s="22" t="s">
        <v>342</v>
      </c>
      <c r="B1" s="93" t="s">
        <v>614</v>
      </c>
      <c r="C1" s="93" t="s">
        <v>613</v>
      </c>
      <c r="D1" s="12" t="s">
        <v>7</v>
      </c>
      <c r="E1" s="13" t="s">
        <v>8</v>
      </c>
      <c r="F1" s="13" t="s">
        <v>9</v>
      </c>
      <c r="G1" s="74" t="s">
        <v>610</v>
      </c>
      <c r="H1" s="13" t="s">
        <v>10</v>
      </c>
      <c r="I1" s="74" t="s">
        <v>611</v>
      </c>
      <c r="J1" s="14" t="s">
        <v>11</v>
      </c>
      <c r="K1" s="13" t="s">
        <v>12</v>
      </c>
      <c r="L1" s="74" t="s">
        <v>13</v>
      </c>
    </row>
    <row r="2" spans="1:12" x14ac:dyDescent="0.2">
      <c r="A2" s="16" t="s">
        <v>343</v>
      </c>
      <c r="B2" s="78">
        <f>SUMIF(pais_origen!$O$8:$O$212, $A2, pais_origen!B$8:B$212)</f>
        <v>8883655</v>
      </c>
      <c r="C2" s="78">
        <f>SUMIF(pais_origen!$O$8:$O$212, $A2, pais_origen!C$8:C$212)</f>
        <v>2350</v>
      </c>
      <c r="D2" s="16">
        <f>SUMIF(pais_origen!$O$8:$O$212, $A2, pais_origen!D$8:D$212)</f>
        <v>8886005</v>
      </c>
      <c r="E2" s="16">
        <f>SUMIF(pais_origen!$O$8:$O$212, $A2, pais_origen!E$8:E$212)</f>
        <v>1556386</v>
      </c>
      <c r="F2" s="16">
        <f>SUMIF(pais_origen!$O$8:$O$212, $A2, pais_origen!F$8:F$212)</f>
        <v>0</v>
      </c>
      <c r="G2" s="78">
        <f>SUMIF(pais_origen!$O$8:$O$212, $A2, pais_origen!G$8:G$212)</f>
        <v>631805</v>
      </c>
      <c r="H2" s="16">
        <f>SUMIF(pais_origen!$O$8:$O$212, $A2, pais_origen!H$8:H$212)</f>
        <v>31567222</v>
      </c>
      <c r="I2" s="78">
        <f>SUMIF(pais_origen!$O$8:$O$212, $A2, pais_origen!I$8:I$212)</f>
        <v>3141354</v>
      </c>
      <c r="J2" s="16">
        <f>SUMIF(pais_origen!$O$8:$O$212, $A2, pais_origen!J$8:J$212)</f>
        <v>0</v>
      </c>
      <c r="K2" s="16">
        <f>SUMIF(pais_origen!$O$8:$O$212, $A2, pais_origen!K$8:K$212)</f>
        <v>295036</v>
      </c>
      <c r="L2" s="78">
        <f>SUMIF(pais_origen!$O$8:$O$212, $A2, pais_origen!L$8:L$212)</f>
        <v>46077808</v>
      </c>
    </row>
    <row r="3" spans="1:12" x14ac:dyDescent="0.2">
      <c r="A3" s="16" t="s">
        <v>344</v>
      </c>
      <c r="B3" s="78">
        <f>SUMIF(pais_origen!$O$8:$O$212, $A3, pais_origen!B$8:B$212)</f>
        <v>11712587</v>
      </c>
      <c r="C3" s="78">
        <f>SUMIF(pais_origen!$O$8:$O$212, $A3, pais_origen!C$8:C$212)</f>
        <v>3779378</v>
      </c>
      <c r="D3" s="16">
        <f>SUMIF(pais_origen!$O$8:$O$212, $A3, pais_origen!D$8:D$212)</f>
        <v>15491965</v>
      </c>
      <c r="E3" s="16">
        <f>SUMIF(pais_origen!$O$8:$O$212, $A3, pais_origen!E$8:E$212)</f>
        <v>1648897</v>
      </c>
      <c r="F3" s="16">
        <f>SUMIF(pais_origen!$O$8:$O$212, $A3, pais_origen!F$8:F$212)</f>
        <v>0</v>
      </c>
      <c r="G3" s="78">
        <f>SUMIF(pais_origen!$O$8:$O$212, $A3, pais_origen!G$8:G$212)</f>
        <v>95668</v>
      </c>
      <c r="H3" s="16">
        <f>SUMIF(pais_origen!$O$8:$O$212, $A3, pais_origen!H$8:H$212)</f>
        <v>19784857</v>
      </c>
      <c r="I3" s="78">
        <f>SUMIF(pais_origen!$O$8:$O$212, $A3, pais_origen!I$8:I$212)</f>
        <v>631916</v>
      </c>
      <c r="J3" s="16">
        <f>SUMIF(pais_origen!$O$8:$O$212, $A3, pais_origen!J$8:J$212)</f>
        <v>0</v>
      </c>
      <c r="K3" s="16">
        <f>SUMIF(pais_origen!$O$8:$O$212, $A3, pais_origen!K$8:K$212)</f>
        <v>255718</v>
      </c>
      <c r="L3" s="78">
        <f>SUMIF(pais_origen!$O$8:$O$212, $A3, pais_origen!L$8:L$212)</f>
        <v>37909021</v>
      </c>
    </row>
    <row r="4" spans="1:12" x14ac:dyDescent="0.2">
      <c r="A4" s="16" t="s">
        <v>340</v>
      </c>
      <c r="B4" s="78">
        <f>SUMIF(pais_origen!$O$8:$O$212, $A4, pais_origen!B$8:B$212)</f>
        <v>4262383</v>
      </c>
      <c r="C4" s="78">
        <f>SUMIF(pais_origen!$O$8:$O$212, $A4, pais_origen!C$8:C$212)</f>
        <v>1903534</v>
      </c>
      <c r="D4" s="16">
        <f>SUMIF(pais_origen!$O$8:$O$212, $A4, pais_origen!D$8:D$212)</f>
        <v>6165917</v>
      </c>
      <c r="E4" s="16">
        <f>SUMIF(pais_origen!$O$8:$O$212, $A4, pais_origen!E$8:E$212)</f>
        <v>214734</v>
      </c>
      <c r="F4" s="16">
        <f>SUMIF(pais_origen!$O$8:$O$212, $A4, pais_origen!F$8:F$212)</f>
        <v>0</v>
      </c>
      <c r="G4" s="78">
        <f>SUMIF(pais_origen!$O$8:$O$212, $A4, pais_origen!G$8:G$212)</f>
        <v>324590</v>
      </c>
      <c r="H4" s="16">
        <f>SUMIF(pais_origen!$O$8:$O$212, $A4, pais_origen!H$8:H$212)</f>
        <v>3990013</v>
      </c>
      <c r="I4" s="78">
        <f>SUMIF(pais_origen!$O$8:$O$212, $A4, pais_origen!I$8:I$212)</f>
        <v>1318794</v>
      </c>
      <c r="J4" s="16">
        <f>SUMIF(pais_origen!$O$8:$O$212, $A4, pais_origen!J$8:J$212)</f>
        <v>0</v>
      </c>
      <c r="K4" s="16">
        <f>SUMIF(pais_origen!$O$8:$O$212, $A4, pais_origen!K$8:K$212)</f>
        <v>989723</v>
      </c>
      <c r="L4" s="78">
        <f>SUMIF(pais_origen!$O$8:$O$212, $A4, pais_origen!L$8:L$212)</f>
        <v>13003771</v>
      </c>
    </row>
    <row r="5" spans="1:12" x14ac:dyDescent="0.2">
      <c r="A5" s="16" t="s">
        <v>345</v>
      </c>
      <c r="B5" s="78">
        <f>SUMIF(pais_origen!$O$8:$O$212, $A5, pais_origen!B$8:B$212)</f>
        <v>706006</v>
      </c>
      <c r="C5" s="78">
        <f>SUMIF(pais_origen!$O$8:$O$212, $A5, pais_origen!C$8:C$212)</f>
        <v>26315</v>
      </c>
      <c r="D5" s="16">
        <f>SUMIF(pais_origen!$O$8:$O$212, $A5, pais_origen!D$8:D$212)</f>
        <v>732321</v>
      </c>
      <c r="E5" s="16">
        <f>SUMIF(pais_origen!$O$8:$O$212, $A5, pais_origen!E$8:E$212)</f>
        <v>3076179</v>
      </c>
      <c r="F5" s="16">
        <f>SUMIF(pais_origen!$O$8:$O$212, $A5, pais_origen!F$8:F$212)</f>
        <v>5755363</v>
      </c>
      <c r="G5" s="78">
        <f>SUMIF(pais_origen!$O$8:$O$212, $A5, pais_origen!G$8:G$212)</f>
        <v>5</v>
      </c>
      <c r="H5" s="16">
        <f>SUMIF(pais_origen!$O$8:$O$212, $A5, pais_origen!H$8:H$212)</f>
        <v>7499374</v>
      </c>
      <c r="I5" s="78">
        <f>SUMIF(pais_origen!$O$8:$O$212, $A5, pais_origen!I$8:I$212)</f>
        <v>0</v>
      </c>
      <c r="J5" s="16">
        <f>SUMIF(pais_origen!$O$8:$O$212, $A5, pais_origen!J$8:J$212)</f>
        <v>0</v>
      </c>
      <c r="K5" s="16">
        <f>SUMIF(pais_origen!$O$8:$O$212, $A5, pais_origen!K$8:K$212)</f>
        <v>4190473</v>
      </c>
      <c r="L5" s="78">
        <f>SUMIF(pais_origen!$O$8:$O$212, $A5, pais_origen!L$8:L$212)</f>
        <v>21253715</v>
      </c>
    </row>
    <row r="6" spans="1:12" x14ac:dyDescent="0.2">
      <c r="A6" s="16" t="s">
        <v>346</v>
      </c>
      <c r="B6" s="78">
        <f>SUMIF(pais_origen!$O$8:$O$212, $A6, pais_origen!B$8:B$212)</f>
        <v>41811</v>
      </c>
      <c r="C6" s="78">
        <f>SUMIF(pais_origen!$O$8:$O$212, $A6, pais_origen!C$8:C$212)</f>
        <v>87382</v>
      </c>
      <c r="D6" s="16">
        <f>SUMIF(pais_origen!$O$8:$O$212, $A6, pais_origen!D$8:D$212)</f>
        <v>129193</v>
      </c>
      <c r="E6" s="16">
        <f>SUMIF(pais_origen!$O$8:$O$212, $A6, pais_origen!E$8:E$212)</f>
        <v>254572</v>
      </c>
      <c r="F6" s="16">
        <f>SUMIF(pais_origen!$O$8:$O$212, $A6, pais_origen!F$8:F$212)</f>
        <v>0</v>
      </c>
      <c r="G6" s="78">
        <f>SUMIF(pais_origen!$O$8:$O$212, $A6, pais_origen!G$8:G$212)</f>
        <v>0</v>
      </c>
      <c r="H6" s="16">
        <f>SUMIF(pais_origen!$O$8:$O$212, $A6, pais_origen!H$8:H$212)</f>
        <v>313901</v>
      </c>
      <c r="I6" s="78">
        <f>SUMIF(pais_origen!$O$8:$O$212, $A6, pais_origen!I$8:I$212)</f>
        <v>0</v>
      </c>
      <c r="J6" s="16">
        <f>SUMIF(pais_origen!$O$8:$O$212, $A6, pais_origen!J$8:J$212)</f>
        <v>0</v>
      </c>
      <c r="K6" s="16">
        <f>SUMIF(pais_origen!$O$8:$O$212, $A6, pais_origen!K$8:K$212)</f>
        <v>38059</v>
      </c>
      <c r="L6" s="78">
        <f>SUMIF(pais_origen!$O$8:$O$212, $A6, pais_origen!L$8:L$212)</f>
        <v>735725</v>
      </c>
    </row>
    <row r="7" spans="1:12" x14ac:dyDescent="0.2">
      <c r="A7" s="16" t="s">
        <v>347</v>
      </c>
      <c r="B7" s="78">
        <f>SUMIF(pais_origen!$O$8:$O$212, $A7, pais_origen!B$8:B$212)</f>
        <v>843</v>
      </c>
      <c r="C7" s="78">
        <f>SUMIF(pais_origen!$O$8:$O$212, $A7, pais_origen!C$8:C$212)</f>
        <v>0</v>
      </c>
      <c r="D7" s="16">
        <f>SUMIF(pais_origen!$O$8:$O$212, $A7, pais_origen!D$8:D$212)</f>
        <v>843</v>
      </c>
      <c r="E7" s="16">
        <f>SUMIF(pais_origen!$O$8:$O$212, $A7, pais_origen!E$8:E$212)</f>
        <v>6837</v>
      </c>
      <c r="F7" s="16">
        <f>SUMIF(pais_origen!$O$8:$O$212, $A7, pais_origen!F$8:F$212)</f>
        <v>0</v>
      </c>
      <c r="G7" s="78">
        <f>SUMIF(pais_origen!$O$8:$O$212, $A7, pais_origen!G$8:G$212)</f>
        <v>0</v>
      </c>
      <c r="H7" s="16">
        <f>SUMIF(pais_origen!$O$8:$O$212, $A7, pais_origen!H$8:H$212)</f>
        <v>96000</v>
      </c>
      <c r="I7" s="78">
        <f>SUMIF(pais_origen!$O$8:$O$212, $A7, pais_origen!I$8:I$212)</f>
        <v>0</v>
      </c>
      <c r="J7" s="16">
        <f>SUMIF(pais_origen!$O$8:$O$212, $A7, pais_origen!J$8:J$212)</f>
        <v>0</v>
      </c>
      <c r="K7" s="16">
        <f>SUMIF(pais_origen!$O$8:$O$212, $A7, pais_origen!K$8:K$212)</f>
        <v>1736</v>
      </c>
      <c r="L7" s="78">
        <f>SUMIF(pais_origen!$O$8:$O$212, $A7, pais_origen!L$8:L$212)</f>
        <v>105416</v>
      </c>
    </row>
    <row r="8" spans="1:12" x14ac:dyDescent="0.2">
      <c r="A8" s="16" t="s">
        <v>445</v>
      </c>
      <c r="B8" s="78">
        <f>pais_origen!B213-SUM(B2:B7)</f>
        <v>158079</v>
      </c>
      <c r="C8" s="78">
        <f>pais_origen!C213-SUM(C2:C7)</f>
        <v>73085</v>
      </c>
      <c r="D8" s="16">
        <f>pais_origen!D213-SUM(D2:D7)</f>
        <v>231164</v>
      </c>
      <c r="E8" s="16">
        <f>pais_origen!E213-SUM(E2:E7)</f>
        <v>100894</v>
      </c>
      <c r="F8" s="16">
        <f>pais_origen!F213-SUM(F2:F7)</f>
        <v>0</v>
      </c>
      <c r="G8" s="78">
        <f>pais_origen!G213-SUM(G2:G7)</f>
        <v>6</v>
      </c>
      <c r="H8" s="16">
        <f>pais_origen!H213-SUM(H2:H7)</f>
        <v>0</v>
      </c>
      <c r="I8" s="78">
        <f>pais_origen!I213-SUM(I2:I7)</f>
        <v>0</v>
      </c>
      <c r="J8" s="16">
        <f>pais_origen!J213-SUM(J2:J7)</f>
        <v>4358188</v>
      </c>
      <c r="K8" s="16">
        <f>pais_origen!K213-SUM(K2:K7)</f>
        <v>174805</v>
      </c>
      <c r="L8" s="78">
        <f>pais_origen!L213-SUM(L2:L7)</f>
        <v>3537393</v>
      </c>
    </row>
    <row r="9" spans="1:12" x14ac:dyDescent="0.2">
      <c r="A9" s="32" t="s">
        <v>331</v>
      </c>
      <c r="B9" s="79">
        <f t="shared" ref="B9:L9" si="0">SUM(B2:B8)</f>
        <v>25765364</v>
      </c>
      <c r="C9" s="79">
        <f t="shared" si="0"/>
        <v>5872044</v>
      </c>
      <c r="D9" s="19">
        <f t="shared" si="0"/>
        <v>31637408</v>
      </c>
      <c r="E9" s="19">
        <f t="shared" si="0"/>
        <v>6858499</v>
      </c>
      <c r="F9" s="19">
        <f t="shared" si="0"/>
        <v>5755363</v>
      </c>
      <c r="G9" s="79">
        <f t="shared" si="0"/>
        <v>1052074</v>
      </c>
      <c r="H9" s="19">
        <f t="shared" si="0"/>
        <v>63251367</v>
      </c>
      <c r="I9" s="79">
        <f t="shared" si="0"/>
        <v>5092064</v>
      </c>
      <c r="J9" s="19">
        <f t="shared" si="0"/>
        <v>4358188</v>
      </c>
      <c r="K9" s="19">
        <f t="shared" si="0"/>
        <v>5945550</v>
      </c>
      <c r="L9" s="79">
        <f t="shared" si="0"/>
        <v>122622849</v>
      </c>
    </row>
  </sheetData>
  <conditionalFormatting sqref="A2:L8">
    <cfRule type="expression" dxfId="1" priority="1">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88D8C-8EDC-4BE6-B9C6-61B9CF24EBEB}">
  <sheetPr>
    <tabColor theme="4" tint="0.79998168889431442"/>
    <pageSetUpPr fitToPage="1"/>
  </sheetPr>
  <dimension ref="A1:W587"/>
  <sheetViews>
    <sheetView zoomScaleNormal="100" workbookViewId="0"/>
  </sheetViews>
  <sheetFormatPr baseColWidth="10" defaultColWidth="9.140625" defaultRowHeight="11.25" x14ac:dyDescent="0.2"/>
  <cols>
    <col min="1" max="1" width="31.42578125" style="4" customWidth="1"/>
    <col min="2" max="2" width="43.28515625" style="4" customWidth="1"/>
    <col min="3" max="3" width="18.28515625" style="69" customWidth="1"/>
    <col min="4" max="4" width="10.7109375" style="4" bestFit="1" customWidth="1"/>
    <col min="5" max="5" width="11.28515625" style="4" bestFit="1" customWidth="1"/>
    <col min="6" max="6" width="12.42578125" style="4" bestFit="1" customWidth="1"/>
    <col min="7" max="7" width="11.28515625" style="4" bestFit="1" customWidth="1"/>
    <col min="8" max="8" width="12.42578125" style="4" bestFit="1" customWidth="1"/>
    <col min="9" max="9" width="12" style="4" customWidth="1"/>
    <col min="10" max="10" width="10.42578125" style="4" customWidth="1"/>
    <col min="11" max="11" width="11.85546875" style="4" bestFit="1" customWidth="1"/>
    <col min="12" max="12" width="10.7109375" style="4" bestFit="1" customWidth="1"/>
    <col min="13" max="13" width="11.28515625" style="4" bestFit="1" customWidth="1"/>
    <col min="14" max="14" width="12.42578125" style="4" bestFit="1" customWidth="1"/>
    <col min="15" max="15" width="11.28515625" style="4" bestFit="1" customWidth="1"/>
    <col min="16" max="16" width="12.42578125" style="4" bestFit="1" customWidth="1"/>
    <col min="17" max="17" width="13" style="4" customWidth="1"/>
    <col min="18" max="18" width="15.7109375" style="4" bestFit="1" customWidth="1"/>
    <col min="19" max="19" width="11.85546875" style="4" bestFit="1" customWidth="1"/>
    <col min="20" max="20" width="17.140625" style="70" bestFit="1" customWidth="1"/>
    <col min="21" max="22" width="7" style="82" customWidth="1"/>
    <col min="23" max="23" width="9.140625" style="82"/>
    <col min="24" max="16384" width="9.140625" style="4"/>
  </cols>
  <sheetData>
    <row r="1" spans="1:23" s="48" customFormat="1" ht="41.25" customHeight="1" x14ac:dyDescent="0.2">
      <c r="A1" s="44" t="s">
        <v>604</v>
      </c>
      <c r="B1" s="45"/>
      <c r="C1" s="46"/>
      <c r="D1" s="47"/>
      <c r="E1" s="47"/>
      <c r="F1" s="47"/>
      <c r="G1" s="47"/>
      <c r="H1" s="47"/>
      <c r="I1" s="47"/>
      <c r="J1" s="47"/>
      <c r="K1" s="47"/>
      <c r="L1" s="47"/>
      <c r="M1" s="47"/>
      <c r="N1" s="47"/>
      <c r="O1" s="47"/>
      <c r="P1" s="47"/>
      <c r="Q1" s="47"/>
      <c r="R1" s="47"/>
      <c r="S1" s="47"/>
      <c r="T1" s="46"/>
      <c r="U1" s="104"/>
      <c r="V1" s="104"/>
      <c r="W1" s="104"/>
    </row>
    <row r="2" spans="1:23" s="20" customFormat="1" ht="12.75" x14ac:dyDescent="0.2">
      <c r="A2" s="2" t="s">
        <v>0</v>
      </c>
      <c r="B2" s="42"/>
      <c r="C2" s="3"/>
      <c r="D2" s="3"/>
      <c r="E2" s="7"/>
      <c r="F2" s="7"/>
      <c r="G2" s="7"/>
      <c r="H2" s="7"/>
      <c r="I2" s="7"/>
      <c r="J2" s="7"/>
      <c r="K2" s="7"/>
      <c r="L2" s="7"/>
      <c r="M2" s="7"/>
      <c r="N2" s="7"/>
      <c r="O2" s="7"/>
      <c r="P2" s="7"/>
      <c r="Q2" s="7"/>
      <c r="R2" s="7"/>
      <c r="S2" s="7"/>
      <c r="T2" s="7"/>
      <c r="U2" s="105"/>
      <c r="V2" s="105"/>
      <c r="W2" s="105"/>
    </row>
    <row r="3" spans="1:23" s="20" customFormat="1" ht="12.75" x14ac:dyDescent="0.2">
      <c r="A3" s="7" t="s">
        <v>494</v>
      </c>
      <c r="B3" s="6" t="s">
        <v>584</v>
      </c>
      <c r="C3" s="3"/>
      <c r="D3" s="3"/>
      <c r="E3" s="7"/>
      <c r="F3" s="7"/>
      <c r="G3" s="7"/>
      <c r="H3" s="7"/>
      <c r="I3" s="7"/>
      <c r="J3" s="7"/>
      <c r="K3" s="7"/>
      <c r="L3" s="7"/>
      <c r="M3" s="7"/>
      <c r="N3" s="7"/>
      <c r="O3" s="7"/>
      <c r="P3" s="7"/>
      <c r="Q3" s="7"/>
      <c r="R3" s="7"/>
      <c r="S3" s="7"/>
      <c r="T3" s="7"/>
      <c r="U3" s="105"/>
      <c r="V3" s="105"/>
      <c r="W3" s="105"/>
    </row>
    <row r="4" spans="1:23" s="20" customFormat="1" ht="12.75" x14ac:dyDescent="0.2">
      <c r="A4" s="132" t="s">
        <v>585</v>
      </c>
      <c r="B4" s="132"/>
      <c r="C4" s="132"/>
      <c r="D4" s="132"/>
      <c r="E4" s="132"/>
      <c r="F4" s="132"/>
      <c r="G4" s="132"/>
      <c r="H4" s="132"/>
      <c r="I4" s="132"/>
      <c r="J4" s="132"/>
      <c r="K4" s="132"/>
      <c r="L4" s="132"/>
      <c r="M4" s="132"/>
      <c r="N4" s="132"/>
      <c r="O4" s="132"/>
      <c r="P4" s="132"/>
      <c r="Q4" s="132"/>
      <c r="R4" s="132"/>
      <c r="S4" s="132"/>
      <c r="T4" s="132"/>
      <c r="U4" s="132"/>
      <c r="V4" s="132"/>
      <c r="W4" s="105"/>
    </row>
    <row r="5" spans="1:23" s="20" customFormat="1" ht="15.95" customHeight="1" x14ac:dyDescent="0.2">
      <c r="A5" s="49" t="s">
        <v>586</v>
      </c>
      <c r="B5" s="49"/>
      <c r="C5" s="50"/>
      <c r="D5" s="51"/>
      <c r="E5" s="51"/>
      <c r="F5" s="7"/>
      <c r="G5" s="7"/>
      <c r="H5" s="7"/>
      <c r="I5" s="7"/>
      <c r="J5" s="7"/>
      <c r="K5" s="7"/>
      <c r="L5" s="7"/>
      <c r="M5" s="7"/>
      <c r="N5" s="7"/>
      <c r="O5" s="7"/>
      <c r="P5" s="7"/>
      <c r="Q5" s="7"/>
      <c r="R5" s="7"/>
      <c r="S5" s="7"/>
      <c r="T5" s="50"/>
      <c r="U5" s="105"/>
      <c r="V5" s="105"/>
      <c r="W5" s="105"/>
    </row>
    <row r="6" spans="1:23" s="20" customFormat="1" ht="28.5" customHeight="1" x14ac:dyDescent="0.2">
      <c r="A6" s="130" t="s">
        <v>587</v>
      </c>
      <c r="B6" s="130"/>
      <c r="C6" s="130"/>
      <c r="D6" s="130"/>
      <c r="E6" s="130"/>
      <c r="F6" s="130"/>
      <c r="G6" s="130"/>
      <c r="H6" s="130"/>
      <c r="I6" s="130"/>
      <c r="J6" s="130"/>
      <c r="K6" s="130"/>
      <c r="L6" s="130"/>
      <c r="M6" s="130"/>
      <c r="N6" s="130"/>
      <c r="O6" s="130"/>
      <c r="P6" s="130"/>
      <c r="Q6" s="130"/>
      <c r="R6" s="7"/>
      <c r="S6" s="7"/>
      <c r="T6" s="7"/>
      <c r="U6" s="105"/>
      <c r="V6" s="105"/>
      <c r="W6" s="105"/>
    </row>
    <row r="7" spans="1:23" ht="15.95" customHeight="1" x14ac:dyDescent="0.2">
      <c r="A7" s="52"/>
      <c r="B7" s="52"/>
      <c r="C7" s="53"/>
      <c r="D7" s="54"/>
      <c r="E7" s="54"/>
      <c r="F7" s="33"/>
      <c r="G7" s="33"/>
      <c r="H7" s="33"/>
      <c r="I7" s="33"/>
      <c r="J7" s="33"/>
      <c r="K7" s="33"/>
      <c r="L7" s="33"/>
      <c r="M7" s="33"/>
      <c r="N7" s="33"/>
      <c r="O7" s="33"/>
      <c r="P7" s="33"/>
      <c r="Q7" s="33"/>
      <c r="R7" s="33"/>
      <c r="S7" s="33"/>
      <c r="T7" s="53"/>
      <c r="U7" s="106"/>
      <c r="V7" s="106"/>
      <c r="W7" s="106"/>
    </row>
    <row r="8" spans="1:23" ht="12.75" x14ac:dyDescent="0.2">
      <c r="A8" s="55"/>
      <c r="B8" s="55"/>
      <c r="C8" s="55"/>
      <c r="D8" s="56" t="s">
        <v>588</v>
      </c>
      <c r="E8" s="57"/>
      <c r="F8" s="56"/>
      <c r="G8" s="56"/>
      <c r="H8" s="56"/>
      <c r="I8" s="56"/>
      <c r="J8" s="56"/>
      <c r="K8" s="56"/>
      <c r="L8" s="56" t="s">
        <v>589</v>
      </c>
      <c r="M8" s="56"/>
      <c r="N8" s="56"/>
      <c r="O8" s="56"/>
      <c r="P8" s="56"/>
      <c r="Q8" s="56"/>
      <c r="R8" s="56"/>
      <c r="S8" s="56"/>
      <c r="T8" s="58"/>
      <c r="U8" s="133" t="s">
        <v>590</v>
      </c>
      <c r="V8" s="133"/>
      <c r="W8" s="107"/>
    </row>
    <row r="9" spans="1:23" s="64" customFormat="1" ht="55.5" customHeight="1" x14ac:dyDescent="0.2">
      <c r="A9" s="12" t="s">
        <v>591</v>
      </c>
      <c r="B9" s="12" t="s">
        <v>592</v>
      </c>
      <c r="C9" s="12" t="s">
        <v>593</v>
      </c>
      <c r="D9" s="59" t="s">
        <v>594</v>
      </c>
      <c r="E9" s="60" t="s">
        <v>595</v>
      </c>
      <c r="F9" s="60" t="s">
        <v>596</v>
      </c>
      <c r="G9" s="61" t="s">
        <v>597</v>
      </c>
      <c r="H9" s="61" t="s">
        <v>598</v>
      </c>
      <c r="I9" s="59" t="s">
        <v>599</v>
      </c>
      <c r="J9" s="62" t="s">
        <v>600</v>
      </c>
      <c r="K9" s="59" t="s">
        <v>331</v>
      </c>
      <c r="L9" s="59" t="s">
        <v>594</v>
      </c>
      <c r="M9" s="60" t="s">
        <v>595</v>
      </c>
      <c r="N9" s="60" t="s">
        <v>596</v>
      </c>
      <c r="O9" s="61" t="s">
        <v>597</v>
      </c>
      <c r="P9" s="61" t="s">
        <v>598</v>
      </c>
      <c r="Q9" s="59" t="s">
        <v>599</v>
      </c>
      <c r="R9" s="62" t="s">
        <v>600</v>
      </c>
      <c r="S9" s="63" t="s">
        <v>331</v>
      </c>
      <c r="T9" s="12" t="s">
        <v>605</v>
      </c>
      <c r="U9" s="108" t="s">
        <v>601</v>
      </c>
      <c r="V9" s="108" t="s">
        <v>602</v>
      </c>
      <c r="W9" s="109" t="s">
        <v>484</v>
      </c>
    </row>
    <row r="10" spans="1:23" s="65" customFormat="1" ht="12.75" x14ac:dyDescent="0.2">
      <c r="A10" s="39" t="s">
        <v>485</v>
      </c>
      <c r="B10" s="39" t="s">
        <v>486</v>
      </c>
      <c r="C10" s="40">
        <f>K10+S10</f>
        <v>26242920</v>
      </c>
      <c r="D10" s="40">
        <f>SUMIF($B$18:$B$583,$B10,D$18:D$583)</f>
        <v>1425602</v>
      </c>
      <c r="E10" s="40">
        <f t="shared" ref="E10:T17" si="0">SUMIF($B$18:$B$583,$B10,E$18:E$583)</f>
        <v>2444869</v>
      </c>
      <c r="F10" s="40">
        <f t="shared" si="0"/>
        <v>1699112</v>
      </c>
      <c r="G10" s="40">
        <f t="shared" si="0"/>
        <v>5569583</v>
      </c>
      <c r="H10" s="40">
        <f t="shared" si="0"/>
        <v>5776545</v>
      </c>
      <c r="I10" s="40">
        <f t="shared" si="0"/>
        <v>592012</v>
      </c>
      <c r="J10" s="40">
        <f t="shared" si="0"/>
        <v>1061321</v>
      </c>
      <c r="K10" s="40">
        <f t="shared" si="0"/>
        <v>12999461</v>
      </c>
      <c r="L10" s="40">
        <f t="shared" si="0"/>
        <v>1462354</v>
      </c>
      <c r="M10" s="40">
        <f t="shared" si="0"/>
        <v>2499162</v>
      </c>
      <c r="N10" s="40">
        <f t="shared" si="0"/>
        <v>1768560</v>
      </c>
      <c r="O10" s="40">
        <f t="shared" si="0"/>
        <v>5730076</v>
      </c>
      <c r="P10" s="40">
        <f t="shared" si="0"/>
        <v>5858297</v>
      </c>
      <c r="Q10" s="40">
        <f t="shared" si="0"/>
        <v>548967</v>
      </c>
      <c r="R10" s="40">
        <f t="shared" si="0"/>
        <v>1106119</v>
      </c>
      <c r="S10" s="40">
        <f t="shared" si="0"/>
        <v>13243459</v>
      </c>
      <c r="T10" s="40">
        <f t="shared" si="0"/>
        <v>31637408</v>
      </c>
      <c r="U10" s="110">
        <f>(S10-R10+K10-J10)/T10</f>
        <v>0.76098143059001544</v>
      </c>
      <c r="V10" s="110">
        <f>(S10+K10)/T10</f>
        <v>0.82949020349581104</v>
      </c>
      <c r="W10" s="111"/>
    </row>
    <row r="11" spans="1:23" s="65" customFormat="1" ht="12.75" x14ac:dyDescent="0.2">
      <c r="A11" s="39" t="s">
        <v>485</v>
      </c>
      <c r="B11" s="39" t="s">
        <v>487</v>
      </c>
      <c r="C11" s="40">
        <f t="shared" ref="C11:C17" si="1">K11+S11</f>
        <v>2719799</v>
      </c>
      <c r="D11" s="40">
        <f t="shared" ref="D11:S17" si="2">SUMIF($B$18:$B$583,$B11,D$18:D$583)</f>
        <v>89810</v>
      </c>
      <c r="E11" s="40">
        <f t="shared" si="2"/>
        <v>132867</v>
      </c>
      <c r="F11" s="40">
        <f t="shared" si="2"/>
        <v>90942</v>
      </c>
      <c r="G11" s="40">
        <f t="shared" si="2"/>
        <v>313619</v>
      </c>
      <c r="H11" s="40">
        <f t="shared" si="2"/>
        <v>554277</v>
      </c>
      <c r="I11" s="40">
        <f t="shared" si="2"/>
        <v>35671</v>
      </c>
      <c r="J11" s="40">
        <f t="shared" si="2"/>
        <v>189956</v>
      </c>
      <c r="K11" s="40">
        <f t="shared" si="2"/>
        <v>1093523</v>
      </c>
      <c r="L11" s="40">
        <f t="shared" si="2"/>
        <v>91878</v>
      </c>
      <c r="M11" s="40">
        <f t="shared" si="2"/>
        <v>138862</v>
      </c>
      <c r="N11" s="40">
        <f t="shared" si="2"/>
        <v>113041</v>
      </c>
      <c r="O11" s="40">
        <f t="shared" si="2"/>
        <v>343781</v>
      </c>
      <c r="P11" s="40">
        <f t="shared" si="2"/>
        <v>840179</v>
      </c>
      <c r="Q11" s="40">
        <f t="shared" si="2"/>
        <v>33242</v>
      </c>
      <c r="R11" s="40">
        <f t="shared" si="2"/>
        <v>409074</v>
      </c>
      <c r="S11" s="40">
        <f t="shared" si="2"/>
        <v>1626276</v>
      </c>
      <c r="T11" s="40">
        <f t="shared" si="0"/>
        <v>6858499</v>
      </c>
      <c r="U11" s="110">
        <f t="shared" ref="U11:U17" si="3">(S11-R11+K11-J11)/T11</f>
        <v>0.30921765826604336</v>
      </c>
      <c r="V11" s="110">
        <f t="shared" ref="V11:V17" si="4">(S11+K11)/T11</f>
        <v>0.39655892637733126</v>
      </c>
      <c r="W11" s="111"/>
    </row>
    <row r="12" spans="1:23" s="65" customFormat="1" ht="12.75" x14ac:dyDescent="0.2">
      <c r="A12" s="39" t="s">
        <v>485</v>
      </c>
      <c r="B12" s="41" t="s">
        <v>488</v>
      </c>
      <c r="C12" s="40">
        <f t="shared" si="1"/>
        <v>5102655</v>
      </c>
      <c r="D12" s="40">
        <f t="shared" si="2"/>
        <v>115318</v>
      </c>
      <c r="E12" s="40">
        <f t="shared" si="0"/>
        <v>66785</v>
      </c>
      <c r="F12" s="40">
        <f t="shared" si="0"/>
        <v>372028</v>
      </c>
      <c r="G12" s="40">
        <f t="shared" si="0"/>
        <v>554131</v>
      </c>
      <c r="H12" s="40">
        <f t="shared" si="0"/>
        <v>1396637</v>
      </c>
      <c r="I12" s="40">
        <f t="shared" si="0"/>
        <v>84065</v>
      </c>
      <c r="J12" s="40">
        <f t="shared" si="0"/>
        <v>607315</v>
      </c>
      <c r="K12" s="40">
        <f t="shared" si="0"/>
        <v>2642148</v>
      </c>
      <c r="L12" s="40">
        <f t="shared" si="0"/>
        <v>120840</v>
      </c>
      <c r="M12" s="40">
        <f t="shared" si="0"/>
        <v>73851</v>
      </c>
      <c r="N12" s="40">
        <f t="shared" si="0"/>
        <v>371510</v>
      </c>
      <c r="O12" s="40">
        <f t="shared" si="0"/>
        <v>566201</v>
      </c>
      <c r="P12" s="40">
        <f t="shared" si="0"/>
        <v>1288318</v>
      </c>
      <c r="Q12" s="40">
        <f t="shared" si="0"/>
        <v>51296</v>
      </c>
      <c r="R12" s="40">
        <f t="shared" si="0"/>
        <v>554692</v>
      </c>
      <c r="S12" s="40">
        <f t="shared" si="0"/>
        <v>2460507</v>
      </c>
      <c r="T12" s="40">
        <f t="shared" si="0"/>
        <v>5755363</v>
      </c>
      <c r="U12" s="110">
        <f t="shared" si="3"/>
        <v>0.68469147819173182</v>
      </c>
      <c r="V12" s="110">
        <f t="shared" si="4"/>
        <v>0.88659134098057757</v>
      </c>
      <c r="W12" s="111"/>
    </row>
    <row r="13" spans="1:23" s="65" customFormat="1" ht="12.75" x14ac:dyDescent="0.2">
      <c r="A13" s="39" t="s">
        <v>485</v>
      </c>
      <c r="B13" s="39" t="s">
        <v>489</v>
      </c>
      <c r="C13" s="40">
        <f t="shared" si="1"/>
        <v>41744003</v>
      </c>
      <c r="D13" s="40">
        <f t="shared" si="2"/>
        <v>2024378</v>
      </c>
      <c r="E13" s="40">
        <f t="shared" si="0"/>
        <v>3243605</v>
      </c>
      <c r="F13" s="40">
        <f t="shared" si="0"/>
        <v>2536557</v>
      </c>
      <c r="G13" s="40">
        <f t="shared" si="0"/>
        <v>7804540</v>
      </c>
      <c r="H13" s="40">
        <f t="shared" si="0"/>
        <v>8928840</v>
      </c>
      <c r="I13" s="40">
        <f t="shared" si="0"/>
        <v>1706046</v>
      </c>
      <c r="J13" s="40">
        <f t="shared" si="0"/>
        <v>2692038</v>
      </c>
      <c r="K13" s="40">
        <f t="shared" si="0"/>
        <v>21131464</v>
      </c>
      <c r="L13" s="40">
        <f t="shared" si="0"/>
        <v>2053130</v>
      </c>
      <c r="M13" s="40">
        <f t="shared" si="0"/>
        <v>3572154</v>
      </c>
      <c r="N13" s="40">
        <f t="shared" si="0"/>
        <v>2725109</v>
      </c>
      <c r="O13" s="40">
        <f t="shared" si="0"/>
        <v>8350393</v>
      </c>
      <c r="P13" s="40">
        <f t="shared" si="0"/>
        <v>8102253</v>
      </c>
      <c r="Q13" s="40">
        <f t="shared" si="0"/>
        <v>1473160</v>
      </c>
      <c r="R13" s="40">
        <f t="shared" si="0"/>
        <v>2686733</v>
      </c>
      <c r="S13" s="40">
        <f t="shared" si="0"/>
        <v>20612539</v>
      </c>
      <c r="T13" s="40">
        <f t="shared" si="0"/>
        <v>63251367</v>
      </c>
      <c r="U13" s="110">
        <f t="shared" si="3"/>
        <v>0.57493195364457494</v>
      </c>
      <c r="V13" s="110">
        <f t="shared" si="4"/>
        <v>0.6599699734552773</v>
      </c>
      <c r="W13" s="111"/>
    </row>
    <row r="14" spans="1:23" s="65" customFormat="1" ht="12.75" x14ac:dyDescent="0.2">
      <c r="A14" s="39" t="s">
        <v>485</v>
      </c>
      <c r="B14" s="39" t="s">
        <v>490</v>
      </c>
      <c r="C14" s="40">
        <f t="shared" si="1"/>
        <v>2121441</v>
      </c>
      <c r="D14" s="40">
        <f t="shared" si="2"/>
        <v>155147</v>
      </c>
      <c r="E14" s="40">
        <f t="shared" si="0"/>
        <v>149007</v>
      </c>
      <c r="F14" s="40">
        <f t="shared" si="0"/>
        <v>108118</v>
      </c>
      <c r="G14" s="40">
        <f t="shared" si="0"/>
        <v>412272</v>
      </c>
      <c r="H14" s="40">
        <f t="shared" si="0"/>
        <v>563177</v>
      </c>
      <c r="I14" s="40">
        <f t="shared" si="0"/>
        <v>70095</v>
      </c>
      <c r="J14" s="40">
        <f t="shared" si="0"/>
        <v>56528</v>
      </c>
      <c r="K14" s="40">
        <f t="shared" si="0"/>
        <v>1102072</v>
      </c>
      <c r="L14" s="40">
        <f t="shared" si="0"/>
        <v>159690</v>
      </c>
      <c r="M14" s="40">
        <f t="shared" si="0"/>
        <v>171445</v>
      </c>
      <c r="N14" s="40">
        <f t="shared" si="0"/>
        <v>104035</v>
      </c>
      <c r="O14" s="40">
        <f t="shared" si="0"/>
        <v>435170</v>
      </c>
      <c r="P14" s="40">
        <f t="shared" si="0"/>
        <v>463447</v>
      </c>
      <c r="Q14" s="40">
        <f t="shared" si="0"/>
        <v>63470</v>
      </c>
      <c r="R14" s="40">
        <f t="shared" si="0"/>
        <v>57282</v>
      </c>
      <c r="S14" s="40">
        <f t="shared" si="0"/>
        <v>1019369</v>
      </c>
      <c r="T14" s="40">
        <f t="shared" si="0"/>
        <v>3030524</v>
      </c>
      <c r="U14" s="110">
        <f t="shared" si="3"/>
        <v>0.66246992269323723</v>
      </c>
      <c r="V14" s="110">
        <f t="shared" si="4"/>
        <v>0.70002448421461105</v>
      </c>
      <c r="W14" s="111"/>
    </row>
    <row r="15" spans="1:23" s="65" customFormat="1" ht="12.75" x14ac:dyDescent="0.2">
      <c r="A15" s="39" t="s">
        <v>485</v>
      </c>
      <c r="B15" s="39" t="s">
        <v>491</v>
      </c>
      <c r="C15" s="40">
        <f t="shared" si="1"/>
        <v>3778063</v>
      </c>
      <c r="D15" s="40">
        <f t="shared" si="2"/>
        <v>111644</v>
      </c>
      <c r="E15" s="40">
        <f t="shared" si="0"/>
        <v>168545</v>
      </c>
      <c r="F15" s="40">
        <f t="shared" si="0"/>
        <v>267976</v>
      </c>
      <c r="G15" s="40">
        <f t="shared" si="0"/>
        <v>548165</v>
      </c>
      <c r="H15" s="40">
        <f t="shared" si="0"/>
        <v>1261576</v>
      </c>
      <c r="I15" s="40">
        <f t="shared" si="0"/>
        <v>9143</v>
      </c>
      <c r="J15" s="40">
        <f t="shared" si="0"/>
        <v>218917</v>
      </c>
      <c r="K15" s="40">
        <f t="shared" si="0"/>
        <v>2037801</v>
      </c>
      <c r="L15" s="40">
        <f t="shared" si="0"/>
        <v>109369</v>
      </c>
      <c r="M15" s="40">
        <f t="shared" si="0"/>
        <v>161349</v>
      </c>
      <c r="N15" s="40">
        <f t="shared" si="0"/>
        <v>233737</v>
      </c>
      <c r="O15" s="40">
        <f t="shared" si="0"/>
        <v>504455</v>
      </c>
      <c r="P15" s="40">
        <f t="shared" si="0"/>
        <v>1016272</v>
      </c>
      <c r="Q15" s="40">
        <f t="shared" si="0"/>
        <v>9256</v>
      </c>
      <c r="R15" s="40">
        <f t="shared" si="0"/>
        <v>210279</v>
      </c>
      <c r="S15" s="40">
        <f t="shared" si="0"/>
        <v>1740262</v>
      </c>
      <c r="T15" s="40">
        <f t="shared" si="0"/>
        <v>5945550</v>
      </c>
      <c r="U15" s="110">
        <f t="shared" si="3"/>
        <v>0.56325604864142087</v>
      </c>
      <c r="V15" s="110">
        <f t="shared" si="4"/>
        <v>0.63544381932705973</v>
      </c>
      <c r="W15" s="111"/>
    </row>
    <row r="16" spans="1:23" s="65" customFormat="1" ht="12.75" x14ac:dyDescent="0.2">
      <c r="A16" s="39" t="s">
        <v>485</v>
      </c>
      <c r="B16" s="39" t="s">
        <v>492</v>
      </c>
      <c r="C16" s="40">
        <f t="shared" si="1"/>
        <v>150628</v>
      </c>
      <c r="D16" s="40">
        <f t="shared" si="2"/>
        <v>13932</v>
      </c>
      <c r="E16" s="40">
        <f t="shared" si="0"/>
        <v>23327</v>
      </c>
      <c r="F16" s="40">
        <f t="shared" si="0"/>
        <v>8738</v>
      </c>
      <c r="G16" s="40">
        <f t="shared" si="0"/>
        <v>45997</v>
      </c>
      <c r="H16" s="40">
        <f t="shared" si="0"/>
        <v>30131</v>
      </c>
      <c r="I16" s="40">
        <f t="shared" si="0"/>
        <v>1885</v>
      </c>
      <c r="J16" s="40">
        <f t="shared" si="0"/>
        <v>10</v>
      </c>
      <c r="K16" s="40">
        <f t="shared" si="0"/>
        <v>78023</v>
      </c>
      <c r="L16" s="40">
        <f t="shared" si="0"/>
        <v>13493</v>
      </c>
      <c r="M16" s="40">
        <f t="shared" si="0"/>
        <v>22223</v>
      </c>
      <c r="N16" s="40">
        <f t="shared" si="0"/>
        <v>8133</v>
      </c>
      <c r="O16" s="40">
        <f t="shared" si="0"/>
        <v>43849</v>
      </c>
      <c r="P16" s="40">
        <f t="shared" si="0"/>
        <v>26442</v>
      </c>
      <c r="Q16" s="40">
        <f t="shared" si="0"/>
        <v>2293</v>
      </c>
      <c r="R16" s="40">
        <f t="shared" si="0"/>
        <v>21</v>
      </c>
      <c r="S16" s="40">
        <f t="shared" si="0"/>
        <v>72605</v>
      </c>
      <c r="T16" s="40">
        <f t="shared" si="0"/>
        <v>1052074</v>
      </c>
      <c r="U16" s="110">
        <f t="shared" si="3"/>
        <v>0.14314297283270949</v>
      </c>
      <c r="V16" s="110">
        <f t="shared" si="4"/>
        <v>0.14317243844064201</v>
      </c>
      <c r="W16" s="111"/>
    </row>
    <row r="17" spans="1:23" s="65" customFormat="1" ht="12.75" x14ac:dyDescent="0.2">
      <c r="A17" s="39" t="s">
        <v>485</v>
      </c>
      <c r="B17" s="39" t="s">
        <v>493</v>
      </c>
      <c r="C17" s="40">
        <f t="shared" si="1"/>
        <v>806347</v>
      </c>
      <c r="D17" s="40">
        <f t="shared" si="2"/>
        <v>36670</v>
      </c>
      <c r="E17" s="40">
        <f t="shared" si="0"/>
        <v>38227</v>
      </c>
      <c r="F17" s="40">
        <f t="shared" si="0"/>
        <v>45274</v>
      </c>
      <c r="G17" s="40">
        <f t="shared" si="0"/>
        <v>120171</v>
      </c>
      <c r="H17" s="40">
        <f t="shared" si="0"/>
        <v>156388</v>
      </c>
      <c r="I17" s="40">
        <f t="shared" si="0"/>
        <v>31673</v>
      </c>
      <c r="J17" s="40">
        <f t="shared" si="0"/>
        <v>113855</v>
      </c>
      <c r="K17" s="40">
        <f t="shared" si="0"/>
        <v>422087</v>
      </c>
      <c r="L17" s="40">
        <f t="shared" si="0"/>
        <v>42254</v>
      </c>
      <c r="M17" s="40">
        <f t="shared" si="0"/>
        <v>46471</v>
      </c>
      <c r="N17" s="40">
        <f t="shared" si="0"/>
        <v>41806</v>
      </c>
      <c r="O17" s="40">
        <f t="shared" si="0"/>
        <v>130531</v>
      </c>
      <c r="P17" s="40">
        <f t="shared" si="0"/>
        <v>130022</v>
      </c>
      <c r="Q17" s="40">
        <f t="shared" si="0"/>
        <v>20447</v>
      </c>
      <c r="R17" s="40">
        <f t="shared" si="0"/>
        <v>103260</v>
      </c>
      <c r="S17" s="40">
        <f t="shared" si="0"/>
        <v>384260</v>
      </c>
      <c r="T17" s="40">
        <f t="shared" si="0"/>
        <v>5092064</v>
      </c>
      <c r="U17" s="110">
        <f t="shared" si="3"/>
        <v>0.11571574905578563</v>
      </c>
      <c r="V17" s="110">
        <f t="shared" si="4"/>
        <v>0.15835366562556952</v>
      </c>
      <c r="W17" s="111"/>
    </row>
    <row r="18" spans="1:23" s="115" customFormat="1" ht="14.45" customHeight="1" x14ac:dyDescent="0.2">
      <c r="A18" s="78" t="s">
        <v>15</v>
      </c>
      <c r="B18" s="78" t="s">
        <v>487</v>
      </c>
      <c r="C18" s="78">
        <v>250</v>
      </c>
      <c r="D18" s="78">
        <v>27</v>
      </c>
      <c r="E18" s="78">
        <v>41</v>
      </c>
      <c r="F18" s="78">
        <v>8</v>
      </c>
      <c r="G18" s="78">
        <v>76</v>
      </c>
      <c r="H18" s="78">
        <v>51</v>
      </c>
      <c r="I18" s="78">
        <v>0</v>
      </c>
      <c r="J18" s="78">
        <v>0</v>
      </c>
      <c r="K18" s="78">
        <v>127</v>
      </c>
      <c r="L18" s="78">
        <v>8</v>
      </c>
      <c r="M18" s="78">
        <v>32</v>
      </c>
      <c r="N18" s="78">
        <v>28</v>
      </c>
      <c r="O18" s="78">
        <v>68</v>
      </c>
      <c r="P18" s="78">
        <v>50</v>
      </c>
      <c r="Q18" s="78">
        <v>5</v>
      </c>
      <c r="R18" s="78">
        <v>0</v>
      </c>
      <c r="S18" s="78">
        <v>123</v>
      </c>
      <c r="T18" s="78">
        <v>250</v>
      </c>
      <c r="U18" s="112">
        <v>1</v>
      </c>
      <c r="V18" s="112">
        <v>1</v>
      </c>
      <c r="W18" s="78" t="s">
        <v>16</v>
      </c>
    </row>
    <row r="19" spans="1:23" s="115" customFormat="1" ht="14.45" customHeight="1" x14ac:dyDescent="0.2">
      <c r="A19" s="78" t="s">
        <v>15</v>
      </c>
      <c r="B19" s="78" t="s">
        <v>493</v>
      </c>
      <c r="C19" s="78">
        <v>31605</v>
      </c>
      <c r="D19" s="78">
        <v>2845</v>
      </c>
      <c r="E19" s="78">
        <v>4527</v>
      </c>
      <c r="F19" s="78">
        <v>3151</v>
      </c>
      <c r="G19" s="78">
        <v>10523</v>
      </c>
      <c r="H19" s="78">
        <v>5638</v>
      </c>
      <c r="I19" s="78">
        <v>702</v>
      </c>
      <c r="J19" s="78">
        <v>0</v>
      </c>
      <c r="K19" s="78">
        <v>16863</v>
      </c>
      <c r="L19" s="78">
        <v>2808</v>
      </c>
      <c r="M19" s="78">
        <v>4383</v>
      </c>
      <c r="N19" s="78">
        <v>2494</v>
      </c>
      <c r="O19" s="78">
        <v>9685</v>
      </c>
      <c r="P19" s="78">
        <v>4427</v>
      </c>
      <c r="Q19" s="78">
        <v>630</v>
      </c>
      <c r="R19" s="78">
        <v>0</v>
      </c>
      <c r="S19" s="78">
        <v>14742</v>
      </c>
      <c r="T19" s="78">
        <v>31605</v>
      </c>
      <c r="U19" s="112">
        <v>1</v>
      </c>
      <c r="V19" s="112">
        <v>1</v>
      </c>
      <c r="W19" s="78" t="s">
        <v>16</v>
      </c>
    </row>
    <row r="20" spans="1:23" s="115" customFormat="1" ht="14.45" customHeight="1" x14ac:dyDescent="0.2">
      <c r="A20" s="78" t="s">
        <v>15</v>
      </c>
      <c r="B20" s="78" t="s">
        <v>489</v>
      </c>
      <c r="C20" s="78">
        <v>3222397</v>
      </c>
      <c r="D20" s="78">
        <v>298053</v>
      </c>
      <c r="E20" s="78">
        <v>457879</v>
      </c>
      <c r="F20" s="78">
        <v>298053</v>
      </c>
      <c r="G20" s="78">
        <v>1053985</v>
      </c>
      <c r="H20" s="78">
        <v>609061</v>
      </c>
      <c r="I20" s="78">
        <v>73433</v>
      </c>
      <c r="J20" s="78">
        <v>0</v>
      </c>
      <c r="K20" s="78">
        <v>1736479</v>
      </c>
      <c r="L20" s="78">
        <v>289409</v>
      </c>
      <c r="M20" s="78">
        <v>436275</v>
      </c>
      <c r="N20" s="78">
        <v>233256</v>
      </c>
      <c r="O20" s="78">
        <v>958940</v>
      </c>
      <c r="P20" s="78">
        <v>462184</v>
      </c>
      <c r="Q20" s="78">
        <v>64794</v>
      </c>
      <c r="R20" s="78">
        <v>0</v>
      </c>
      <c r="S20" s="78">
        <v>1485918</v>
      </c>
      <c r="T20" s="78">
        <v>3222397</v>
      </c>
      <c r="U20" s="112">
        <v>1</v>
      </c>
      <c r="V20" s="112">
        <v>1</v>
      </c>
      <c r="W20" s="78" t="s">
        <v>16</v>
      </c>
    </row>
    <row r="21" spans="1:23" s="115" customFormat="1" ht="14.45" customHeight="1" x14ac:dyDescent="0.2">
      <c r="A21" s="78" t="s">
        <v>15</v>
      </c>
      <c r="B21" s="78" t="s">
        <v>491</v>
      </c>
      <c r="C21" s="78">
        <v>33712</v>
      </c>
      <c r="D21" s="78">
        <v>3296</v>
      </c>
      <c r="E21" s="78">
        <v>4144</v>
      </c>
      <c r="F21" s="78">
        <v>2251</v>
      </c>
      <c r="G21" s="78">
        <v>9691</v>
      </c>
      <c r="H21" s="78">
        <v>7709</v>
      </c>
      <c r="I21" s="78">
        <v>373</v>
      </c>
      <c r="J21" s="78">
        <v>0</v>
      </c>
      <c r="K21" s="78">
        <v>17773</v>
      </c>
      <c r="L21" s="78">
        <v>3305</v>
      </c>
      <c r="M21" s="78">
        <v>3584</v>
      </c>
      <c r="N21" s="78">
        <v>1984</v>
      </c>
      <c r="O21" s="78">
        <v>8873</v>
      </c>
      <c r="P21" s="78">
        <v>6413</v>
      </c>
      <c r="Q21" s="78">
        <v>653</v>
      </c>
      <c r="R21" s="78">
        <v>0</v>
      </c>
      <c r="S21" s="78">
        <v>15939</v>
      </c>
      <c r="T21" s="78">
        <v>33712</v>
      </c>
      <c r="U21" s="112">
        <v>1</v>
      </c>
      <c r="V21" s="112">
        <v>1</v>
      </c>
      <c r="W21" s="78" t="s">
        <v>16</v>
      </c>
    </row>
    <row r="22" spans="1:23" s="115" customFormat="1" ht="14.45" customHeight="1" x14ac:dyDescent="0.2">
      <c r="A22" s="78" t="s">
        <v>15</v>
      </c>
      <c r="B22" s="78" t="s">
        <v>492</v>
      </c>
      <c r="C22" s="78">
        <v>54868</v>
      </c>
      <c r="D22" s="78">
        <v>4947</v>
      </c>
      <c r="E22" s="78">
        <v>6818</v>
      </c>
      <c r="F22" s="78">
        <v>3408</v>
      </c>
      <c r="G22" s="78">
        <v>15173</v>
      </c>
      <c r="H22" s="78">
        <v>10376</v>
      </c>
      <c r="I22" s="78">
        <v>604</v>
      </c>
      <c r="J22" s="78">
        <v>0</v>
      </c>
      <c r="K22" s="78">
        <v>26153</v>
      </c>
      <c r="L22" s="78">
        <v>4849</v>
      </c>
      <c r="M22" s="78">
        <v>7106</v>
      </c>
      <c r="N22" s="78">
        <v>3389</v>
      </c>
      <c r="O22" s="78">
        <v>15344</v>
      </c>
      <c r="P22" s="78">
        <v>12265</v>
      </c>
      <c r="Q22" s="78">
        <v>1106</v>
      </c>
      <c r="R22" s="78">
        <v>0</v>
      </c>
      <c r="S22" s="78">
        <v>28715</v>
      </c>
      <c r="T22" s="78">
        <v>57530</v>
      </c>
      <c r="U22" s="112">
        <v>0.953728489483748</v>
      </c>
      <c r="V22" s="112">
        <v>0.953728489483748</v>
      </c>
      <c r="W22" s="78" t="s">
        <v>16</v>
      </c>
    </row>
    <row r="23" spans="1:23" s="115" customFormat="1" ht="14.45" customHeight="1" x14ac:dyDescent="0.2">
      <c r="A23" s="78" t="s">
        <v>15</v>
      </c>
      <c r="B23" s="78" t="s">
        <v>486</v>
      </c>
      <c r="C23" s="78">
        <v>34826</v>
      </c>
      <c r="D23" s="78">
        <v>3649</v>
      </c>
      <c r="E23" s="78">
        <v>4034</v>
      </c>
      <c r="F23" s="78">
        <v>2384</v>
      </c>
      <c r="G23" s="78">
        <v>10067</v>
      </c>
      <c r="H23" s="78">
        <v>7640</v>
      </c>
      <c r="I23" s="78">
        <v>776</v>
      </c>
      <c r="J23" s="78">
        <v>0</v>
      </c>
      <c r="K23" s="78">
        <v>18483</v>
      </c>
      <c r="L23" s="78">
        <v>3287</v>
      </c>
      <c r="M23" s="78">
        <v>4138</v>
      </c>
      <c r="N23" s="78">
        <v>2106</v>
      </c>
      <c r="O23" s="78">
        <v>9531</v>
      </c>
      <c r="P23" s="78">
        <v>5823</v>
      </c>
      <c r="Q23" s="78">
        <v>989</v>
      </c>
      <c r="R23" s="78">
        <v>0</v>
      </c>
      <c r="S23" s="78">
        <v>16343</v>
      </c>
      <c r="T23" s="78">
        <v>34826</v>
      </c>
      <c r="U23" s="112">
        <v>1</v>
      </c>
      <c r="V23" s="112">
        <v>1</v>
      </c>
      <c r="W23" s="78" t="s">
        <v>16</v>
      </c>
    </row>
    <row r="24" spans="1:23" s="115" customFormat="1" ht="14.45" customHeight="1" x14ac:dyDescent="0.2">
      <c r="A24" s="78" t="s">
        <v>359</v>
      </c>
      <c r="B24" s="78" t="s">
        <v>487</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8</v>
      </c>
      <c r="U24" s="112">
        <v>0</v>
      </c>
      <c r="V24" s="112">
        <v>0</v>
      </c>
      <c r="W24" s="78" t="s">
        <v>17</v>
      </c>
    </row>
    <row r="25" spans="1:23" s="115" customFormat="1" ht="14.45" customHeight="1" x14ac:dyDescent="0.2">
      <c r="A25" s="78" t="s">
        <v>359</v>
      </c>
      <c r="B25" s="78" t="s">
        <v>491</v>
      </c>
      <c r="C25" s="78">
        <v>0</v>
      </c>
      <c r="D25" s="78">
        <v>0</v>
      </c>
      <c r="E25" s="78">
        <v>0</v>
      </c>
      <c r="F25" s="78">
        <v>0</v>
      </c>
      <c r="G25" s="78">
        <v>0</v>
      </c>
      <c r="H25" s="78">
        <v>0</v>
      </c>
      <c r="I25" s="78">
        <v>0</v>
      </c>
      <c r="J25" s="78">
        <v>0</v>
      </c>
      <c r="K25" s="78">
        <v>0</v>
      </c>
      <c r="L25" s="78">
        <v>0</v>
      </c>
      <c r="M25" s="78">
        <v>0</v>
      </c>
      <c r="N25" s="78">
        <v>0</v>
      </c>
      <c r="O25" s="78">
        <v>0</v>
      </c>
      <c r="P25" s="78">
        <v>0</v>
      </c>
      <c r="Q25" s="78">
        <v>0</v>
      </c>
      <c r="R25" s="78">
        <v>0</v>
      </c>
      <c r="S25" s="78">
        <v>0</v>
      </c>
      <c r="T25" s="78">
        <v>6</v>
      </c>
      <c r="U25" s="112">
        <v>0</v>
      </c>
      <c r="V25" s="112">
        <v>0</v>
      </c>
      <c r="W25" s="78" t="s">
        <v>17</v>
      </c>
    </row>
    <row r="26" spans="1:23" s="115" customFormat="1" ht="14.45" customHeight="1" x14ac:dyDescent="0.2">
      <c r="A26" s="78" t="s">
        <v>359</v>
      </c>
      <c r="B26" s="78" t="s">
        <v>486</v>
      </c>
      <c r="C26" s="78">
        <v>0</v>
      </c>
      <c r="D26" s="78">
        <v>0</v>
      </c>
      <c r="E26" s="78">
        <v>0</v>
      </c>
      <c r="F26" s="78">
        <v>0</v>
      </c>
      <c r="G26" s="78">
        <v>0</v>
      </c>
      <c r="H26" s="78">
        <v>0</v>
      </c>
      <c r="I26" s="78">
        <v>0</v>
      </c>
      <c r="J26" s="78">
        <v>0</v>
      </c>
      <c r="K26" s="78">
        <v>0</v>
      </c>
      <c r="L26" s="78">
        <v>0</v>
      </c>
      <c r="M26" s="78">
        <v>0</v>
      </c>
      <c r="N26" s="78">
        <v>0</v>
      </c>
      <c r="O26" s="78">
        <v>0</v>
      </c>
      <c r="P26" s="78">
        <v>0</v>
      </c>
      <c r="Q26" s="78">
        <v>0</v>
      </c>
      <c r="R26" s="78">
        <v>0</v>
      </c>
      <c r="S26" s="78">
        <v>0</v>
      </c>
      <c r="T26" s="78">
        <v>5079</v>
      </c>
      <c r="U26" s="112">
        <v>0</v>
      </c>
      <c r="V26" s="112">
        <v>0</v>
      </c>
      <c r="W26" s="78" t="s">
        <v>17</v>
      </c>
    </row>
    <row r="27" spans="1:23" s="115" customFormat="1" ht="14.45" customHeight="1" x14ac:dyDescent="0.2">
      <c r="A27" s="78" t="s">
        <v>359</v>
      </c>
      <c r="B27" s="78" t="s">
        <v>490</v>
      </c>
      <c r="C27" s="78">
        <v>0</v>
      </c>
      <c r="D27" s="78">
        <v>0</v>
      </c>
      <c r="E27" s="78">
        <v>0</v>
      </c>
      <c r="F27" s="78">
        <v>0</v>
      </c>
      <c r="G27" s="78">
        <v>0</v>
      </c>
      <c r="H27" s="78">
        <v>0</v>
      </c>
      <c r="I27" s="78">
        <v>0</v>
      </c>
      <c r="J27" s="78">
        <v>0</v>
      </c>
      <c r="K27" s="78">
        <v>0</v>
      </c>
      <c r="L27" s="78">
        <v>0</v>
      </c>
      <c r="M27" s="78">
        <v>0</v>
      </c>
      <c r="N27" s="78">
        <v>0</v>
      </c>
      <c r="O27" s="78">
        <v>0</v>
      </c>
      <c r="P27" s="78">
        <v>0</v>
      </c>
      <c r="Q27" s="78">
        <v>0</v>
      </c>
      <c r="R27" s="78">
        <v>0</v>
      </c>
      <c r="S27" s="78">
        <v>0</v>
      </c>
      <c r="T27" s="78">
        <v>2018</v>
      </c>
      <c r="U27" s="112">
        <v>0</v>
      </c>
      <c r="V27" s="112">
        <v>0</v>
      </c>
      <c r="W27" s="78" t="s">
        <v>17</v>
      </c>
    </row>
    <row r="28" spans="1:23" s="115" customFormat="1" ht="14.45" customHeight="1" x14ac:dyDescent="0.2">
      <c r="A28" s="78" t="s">
        <v>360</v>
      </c>
      <c r="B28" s="78" t="s">
        <v>487</v>
      </c>
      <c r="C28" s="78">
        <v>3601</v>
      </c>
      <c r="D28" s="78">
        <v>223</v>
      </c>
      <c r="E28" s="78">
        <v>93</v>
      </c>
      <c r="F28" s="78">
        <v>83</v>
      </c>
      <c r="G28" s="78">
        <v>399</v>
      </c>
      <c r="H28" s="78">
        <v>828</v>
      </c>
      <c r="I28" s="78">
        <v>0</v>
      </c>
      <c r="J28" s="78">
        <v>0</v>
      </c>
      <c r="K28" s="78">
        <v>1227</v>
      </c>
      <c r="L28" s="78">
        <v>223</v>
      </c>
      <c r="M28" s="78">
        <v>85</v>
      </c>
      <c r="N28" s="78">
        <v>142</v>
      </c>
      <c r="O28" s="78">
        <v>450</v>
      </c>
      <c r="P28" s="78">
        <v>1924</v>
      </c>
      <c r="Q28" s="78">
        <v>0</v>
      </c>
      <c r="R28" s="78">
        <v>0</v>
      </c>
      <c r="S28" s="78">
        <v>2374</v>
      </c>
      <c r="T28" s="78">
        <v>3601</v>
      </c>
      <c r="U28" s="112">
        <v>1</v>
      </c>
      <c r="V28" s="112">
        <v>1</v>
      </c>
      <c r="W28" s="78" t="s">
        <v>18</v>
      </c>
    </row>
    <row r="29" spans="1:23" s="115" customFormat="1" ht="14.45" customHeight="1" x14ac:dyDescent="0.2">
      <c r="A29" s="78" t="s">
        <v>360</v>
      </c>
      <c r="B29" s="78" t="s">
        <v>486</v>
      </c>
      <c r="C29" s="78">
        <v>8590</v>
      </c>
      <c r="D29" s="78">
        <v>468</v>
      </c>
      <c r="E29" s="78">
        <v>730</v>
      </c>
      <c r="F29" s="78">
        <v>449</v>
      </c>
      <c r="G29" s="78">
        <v>1647</v>
      </c>
      <c r="H29" s="78">
        <v>1638</v>
      </c>
      <c r="I29" s="78">
        <v>71</v>
      </c>
      <c r="J29" s="78">
        <v>0</v>
      </c>
      <c r="K29" s="78">
        <v>3356</v>
      </c>
      <c r="L29" s="78">
        <v>487</v>
      </c>
      <c r="M29" s="78">
        <v>807</v>
      </c>
      <c r="N29" s="78">
        <v>498</v>
      </c>
      <c r="O29" s="78">
        <v>1792</v>
      </c>
      <c r="P29" s="78">
        <v>3350</v>
      </c>
      <c r="Q29" s="78">
        <v>92</v>
      </c>
      <c r="R29" s="78">
        <v>0</v>
      </c>
      <c r="S29" s="78">
        <v>5234</v>
      </c>
      <c r="T29" s="78">
        <v>98590</v>
      </c>
      <c r="U29" s="112">
        <v>8.7128512019474594E-2</v>
      </c>
      <c r="V29" s="112">
        <v>8.7128512019474594E-2</v>
      </c>
      <c r="W29" s="78" t="s">
        <v>18</v>
      </c>
    </row>
    <row r="30" spans="1:23" s="115" customFormat="1" ht="14.45" customHeight="1" x14ac:dyDescent="0.2">
      <c r="A30" s="78" t="s">
        <v>19</v>
      </c>
      <c r="B30" s="78" t="s">
        <v>487</v>
      </c>
      <c r="C30" s="78">
        <v>0</v>
      </c>
      <c r="D30" s="78">
        <v>0</v>
      </c>
      <c r="E30" s="78">
        <v>0</v>
      </c>
      <c r="F30" s="78">
        <v>0</v>
      </c>
      <c r="G30" s="78">
        <v>0</v>
      </c>
      <c r="H30" s="78">
        <v>0</v>
      </c>
      <c r="I30" s="78">
        <v>0</v>
      </c>
      <c r="J30" s="78">
        <v>0</v>
      </c>
      <c r="K30" s="78">
        <v>0</v>
      </c>
      <c r="L30" s="78">
        <v>0</v>
      </c>
      <c r="M30" s="78">
        <v>0</v>
      </c>
      <c r="N30" s="78">
        <v>0</v>
      </c>
      <c r="O30" s="78">
        <v>0</v>
      </c>
      <c r="P30" s="78">
        <v>0</v>
      </c>
      <c r="Q30" s="78">
        <v>0</v>
      </c>
      <c r="R30" s="78">
        <v>0</v>
      </c>
      <c r="S30" s="78">
        <v>0</v>
      </c>
      <c r="T30" s="78">
        <v>30268</v>
      </c>
      <c r="U30" s="112">
        <v>0</v>
      </c>
      <c r="V30" s="112">
        <v>0</v>
      </c>
      <c r="W30" s="78" t="s">
        <v>20</v>
      </c>
    </row>
    <row r="31" spans="1:23" s="115" customFormat="1" ht="14.45" customHeight="1" x14ac:dyDescent="0.2">
      <c r="A31" s="78" t="s">
        <v>19</v>
      </c>
      <c r="B31" s="78" t="s">
        <v>491</v>
      </c>
      <c r="C31" s="78">
        <v>0</v>
      </c>
      <c r="D31" s="78">
        <v>0</v>
      </c>
      <c r="E31" s="78">
        <v>0</v>
      </c>
      <c r="F31" s="78">
        <v>0</v>
      </c>
      <c r="G31" s="78">
        <v>0</v>
      </c>
      <c r="H31" s="78">
        <v>0</v>
      </c>
      <c r="I31" s="78">
        <v>0</v>
      </c>
      <c r="J31" s="78">
        <v>0</v>
      </c>
      <c r="K31" s="78">
        <v>0</v>
      </c>
      <c r="L31" s="78">
        <v>0</v>
      </c>
      <c r="M31" s="78">
        <v>0</v>
      </c>
      <c r="N31" s="78">
        <v>0</v>
      </c>
      <c r="O31" s="78">
        <v>0</v>
      </c>
      <c r="P31" s="78">
        <v>0</v>
      </c>
      <c r="Q31" s="78">
        <v>0</v>
      </c>
      <c r="R31" s="78">
        <v>0</v>
      </c>
      <c r="S31" s="78">
        <v>0</v>
      </c>
      <c r="T31" s="78">
        <v>199</v>
      </c>
      <c r="U31" s="112">
        <v>0</v>
      </c>
      <c r="V31" s="112">
        <v>0</v>
      </c>
      <c r="W31" s="78" t="s">
        <v>20</v>
      </c>
    </row>
    <row r="32" spans="1:23" s="115" customFormat="1" ht="14.45" customHeight="1" x14ac:dyDescent="0.2">
      <c r="A32" s="78" t="s">
        <v>19</v>
      </c>
      <c r="B32" s="78" t="s">
        <v>486</v>
      </c>
      <c r="C32" s="78">
        <v>8926</v>
      </c>
      <c r="D32" s="78">
        <v>632</v>
      </c>
      <c r="E32" s="78">
        <v>1134</v>
      </c>
      <c r="F32" s="78">
        <v>729</v>
      </c>
      <c r="G32" s="78">
        <v>2495</v>
      </c>
      <c r="H32" s="78">
        <v>1971</v>
      </c>
      <c r="I32" s="78">
        <v>105</v>
      </c>
      <c r="J32" s="78">
        <v>0</v>
      </c>
      <c r="K32" s="78">
        <v>4571</v>
      </c>
      <c r="L32" s="78">
        <v>656</v>
      </c>
      <c r="M32" s="78">
        <v>1123</v>
      </c>
      <c r="N32" s="78">
        <v>681</v>
      </c>
      <c r="O32" s="78">
        <v>2460</v>
      </c>
      <c r="P32" s="78">
        <v>1729</v>
      </c>
      <c r="Q32" s="78">
        <v>166</v>
      </c>
      <c r="R32" s="78">
        <v>0</v>
      </c>
      <c r="S32" s="78">
        <v>4355</v>
      </c>
      <c r="T32" s="78">
        <v>25174</v>
      </c>
      <c r="U32" s="112">
        <v>0.35457217764360099</v>
      </c>
      <c r="V32" s="112">
        <v>0.35457217764360099</v>
      </c>
      <c r="W32" s="78" t="s">
        <v>20</v>
      </c>
    </row>
    <row r="33" spans="1:23" s="115" customFormat="1" ht="14.45" customHeight="1" x14ac:dyDescent="0.2">
      <c r="A33" s="78" t="s">
        <v>25</v>
      </c>
      <c r="B33" s="78" t="s">
        <v>487</v>
      </c>
      <c r="C33" s="78">
        <v>7129</v>
      </c>
      <c r="D33" s="78">
        <v>49</v>
      </c>
      <c r="E33" s="78">
        <v>252</v>
      </c>
      <c r="F33" s="78">
        <v>159</v>
      </c>
      <c r="G33" s="78">
        <v>460</v>
      </c>
      <c r="H33" s="78">
        <v>1761</v>
      </c>
      <c r="I33" s="78">
        <v>59</v>
      </c>
      <c r="J33" s="78">
        <v>699</v>
      </c>
      <c r="K33" s="78">
        <v>2979</v>
      </c>
      <c r="L33" s="78">
        <v>54</v>
      </c>
      <c r="M33" s="78">
        <v>273</v>
      </c>
      <c r="N33" s="78">
        <v>180</v>
      </c>
      <c r="O33" s="78">
        <v>507</v>
      </c>
      <c r="P33" s="78">
        <v>2489</v>
      </c>
      <c r="Q33" s="78">
        <v>34</v>
      </c>
      <c r="R33" s="78">
        <v>1120</v>
      </c>
      <c r="S33" s="78">
        <v>4150</v>
      </c>
      <c r="T33" s="78">
        <v>7129</v>
      </c>
      <c r="U33" s="112">
        <v>0.74484499929863901</v>
      </c>
      <c r="V33" s="112">
        <v>1</v>
      </c>
      <c r="W33" s="78" t="s">
        <v>26</v>
      </c>
    </row>
    <row r="34" spans="1:23" s="115" customFormat="1" ht="14.45" customHeight="1" x14ac:dyDescent="0.2">
      <c r="A34" s="78" t="s">
        <v>25</v>
      </c>
      <c r="B34" s="78" t="s">
        <v>488</v>
      </c>
      <c r="C34" s="78">
        <v>162029</v>
      </c>
      <c r="D34" s="78">
        <v>0</v>
      </c>
      <c r="E34" s="78">
        <v>0</v>
      </c>
      <c r="F34" s="78">
        <v>0</v>
      </c>
      <c r="G34" s="78">
        <v>0</v>
      </c>
      <c r="H34" s="78">
        <v>0</v>
      </c>
      <c r="I34" s="78">
        <v>0</v>
      </c>
      <c r="J34" s="78">
        <v>85401</v>
      </c>
      <c r="K34" s="78">
        <v>85401</v>
      </c>
      <c r="L34" s="78">
        <v>0</v>
      </c>
      <c r="M34" s="78">
        <v>0</v>
      </c>
      <c r="N34" s="78">
        <v>0</v>
      </c>
      <c r="O34" s="78">
        <v>0</v>
      </c>
      <c r="P34" s="78">
        <v>0</v>
      </c>
      <c r="Q34" s="78">
        <v>0</v>
      </c>
      <c r="R34" s="78">
        <v>76628</v>
      </c>
      <c r="S34" s="78">
        <v>76628</v>
      </c>
      <c r="T34" s="78">
        <v>215541</v>
      </c>
      <c r="U34" s="112">
        <v>0</v>
      </c>
      <c r="V34" s="112">
        <v>0.751731689098594</v>
      </c>
      <c r="W34" s="78" t="s">
        <v>26</v>
      </c>
    </row>
    <row r="35" spans="1:23" s="115" customFormat="1" ht="14.45" customHeight="1" x14ac:dyDescent="0.2">
      <c r="A35" s="78" t="s">
        <v>25</v>
      </c>
      <c r="B35" s="78" t="s">
        <v>491</v>
      </c>
      <c r="C35" s="78">
        <v>16</v>
      </c>
      <c r="D35" s="78">
        <v>0</v>
      </c>
      <c r="E35" s="78">
        <v>0</v>
      </c>
      <c r="F35" s="78">
        <v>0</v>
      </c>
      <c r="G35" s="78">
        <v>0</v>
      </c>
      <c r="H35" s="78">
        <v>5</v>
      </c>
      <c r="I35" s="78">
        <v>5</v>
      </c>
      <c r="J35" s="78">
        <v>0</v>
      </c>
      <c r="K35" s="78">
        <v>10</v>
      </c>
      <c r="L35" s="78">
        <v>0</v>
      </c>
      <c r="M35" s="78">
        <v>0</v>
      </c>
      <c r="N35" s="78">
        <v>0</v>
      </c>
      <c r="O35" s="78">
        <v>0</v>
      </c>
      <c r="P35" s="78">
        <v>6</v>
      </c>
      <c r="Q35" s="78">
        <v>0</v>
      </c>
      <c r="R35" s="78">
        <v>0</v>
      </c>
      <c r="S35" s="78">
        <v>6</v>
      </c>
      <c r="T35" s="78">
        <v>475</v>
      </c>
      <c r="U35" s="112">
        <v>3.3684210526315803E-2</v>
      </c>
      <c r="V35" s="112">
        <v>3.3684210526315803E-2</v>
      </c>
      <c r="W35" s="78" t="s">
        <v>26</v>
      </c>
    </row>
    <row r="36" spans="1:23" s="115" customFormat="1" ht="14.45" customHeight="1" x14ac:dyDescent="0.2">
      <c r="A36" s="78" t="s">
        <v>25</v>
      </c>
      <c r="B36" s="78" t="s">
        <v>486</v>
      </c>
      <c r="C36" s="78">
        <v>4104</v>
      </c>
      <c r="D36" s="78">
        <v>0</v>
      </c>
      <c r="E36" s="78">
        <v>22</v>
      </c>
      <c r="F36" s="78">
        <v>87</v>
      </c>
      <c r="G36" s="78">
        <v>109</v>
      </c>
      <c r="H36" s="78">
        <v>1176</v>
      </c>
      <c r="I36" s="78">
        <v>208</v>
      </c>
      <c r="J36" s="78">
        <v>385</v>
      </c>
      <c r="K36" s="78">
        <v>1878</v>
      </c>
      <c r="L36" s="78">
        <v>0</v>
      </c>
      <c r="M36" s="78">
        <v>24</v>
      </c>
      <c r="N36" s="78">
        <v>86</v>
      </c>
      <c r="O36" s="78">
        <v>110</v>
      </c>
      <c r="P36" s="78">
        <v>1624</v>
      </c>
      <c r="Q36" s="78">
        <v>237</v>
      </c>
      <c r="R36" s="78">
        <v>255</v>
      </c>
      <c r="S36" s="78">
        <v>2226</v>
      </c>
      <c r="T36" s="78">
        <v>4104</v>
      </c>
      <c r="U36" s="112">
        <v>0.84405458089668595</v>
      </c>
      <c r="V36" s="112">
        <v>1</v>
      </c>
      <c r="W36" s="78" t="s">
        <v>26</v>
      </c>
    </row>
    <row r="37" spans="1:23" s="115" customFormat="1" ht="14.45" customHeight="1" x14ac:dyDescent="0.2">
      <c r="A37" s="78" t="s">
        <v>25</v>
      </c>
      <c r="B37" s="78" t="s">
        <v>490</v>
      </c>
      <c r="C37" s="78">
        <v>22</v>
      </c>
      <c r="D37" s="78">
        <v>0</v>
      </c>
      <c r="E37" s="78">
        <v>0</v>
      </c>
      <c r="F37" s="78">
        <v>0</v>
      </c>
      <c r="G37" s="78">
        <v>0</v>
      </c>
      <c r="H37" s="78">
        <v>7</v>
      </c>
      <c r="I37" s="78">
        <v>9</v>
      </c>
      <c r="J37" s="78">
        <v>0</v>
      </c>
      <c r="K37" s="78">
        <v>16</v>
      </c>
      <c r="L37" s="78">
        <v>0</v>
      </c>
      <c r="M37" s="78">
        <v>0</v>
      </c>
      <c r="N37" s="78">
        <v>0</v>
      </c>
      <c r="O37" s="78">
        <v>0</v>
      </c>
      <c r="P37" s="78">
        <v>6</v>
      </c>
      <c r="Q37" s="78">
        <v>0</v>
      </c>
      <c r="R37" s="78">
        <v>0</v>
      </c>
      <c r="S37" s="78">
        <v>6</v>
      </c>
      <c r="T37" s="78">
        <v>22</v>
      </c>
      <c r="U37" s="112">
        <v>1</v>
      </c>
      <c r="V37" s="112">
        <v>1</v>
      </c>
      <c r="W37" s="78" t="s">
        <v>26</v>
      </c>
    </row>
    <row r="38" spans="1:23" s="115" customFormat="1" ht="14.45" customHeight="1" x14ac:dyDescent="0.2">
      <c r="A38" s="78" t="s">
        <v>27</v>
      </c>
      <c r="B38" s="78" t="s">
        <v>487</v>
      </c>
      <c r="C38" s="78">
        <v>35</v>
      </c>
      <c r="D38" s="78">
        <v>0</v>
      </c>
      <c r="E38" s="78">
        <v>0</v>
      </c>
      <c r="F38" s="78">
        <v>0</v>
      </c>
      <c r="G38" s="78">
        <v>0</v>
      </c>
      <c r="H38" s="78">
        <v>5</v>
      </c>
      <c r="I38" s="78">
        <v>0</v>
      </c>
      <c r="J38" s="78">
        <v>5</v>
      </c>
      <c r="K38" s="78">
        <v>10</v>
      </c>
      <c r="L38" s="78">
        <v>0</v>
      </c>
      <c r="M38" s="78">
        <v>0</v>
      </c>
      <c r="N38" s="78">
        <v>0</v>
      </c>
      <c r="O38" s="78">
        <v>0</v>
      </c>
      <c r="P38" s="78">
        <v>25</v>
      </c>
      <c r="Q38" s="78">
        <v>0</v>
      </c>
      <c r="R38" s="78">
        <v>0</v>
      </c>
      <c r="S38" s="78">
        <v>25</v>
      </c>
      <c r="T38" s="78">
        <v>615</v>
      </c>
      <c r="U38" s="112">
        <v>4.8780487804878099E-2</v>
      </c>
      <c r="V38" s="112">
        <v>5.6910569105691103E-2</v>
      </c>
      <c r="W38" s="78" t="s">
        <v>28</v>
      </c>
    </row>
    <row r="39" spans="1:23" s="115" customFormat="1" ht="14.45" customHeight="1" x14ac:dyDescent="0.2">
      <c r="A39" s="78" t="s">
        <v>27</v>
      </c>
      <c r="B39" s="78" t="s">
        <v>486</v>
      </c>
      <c r="C39" s="78">
        <v>2729</v>
      </c>
      <c r="D39" s="78">
        <v>36</v>
      </c>
      <c r="E39" s="78">
        <v>67</v>
      </c>
      <c r="F39" s="78">
        <v>40</v>
      </c>
      <c r="G39" s="78">
        <v>143</v>
      </c>
      <c r="H39" s="78">
        <v>710</v>
      </c>
      <c r="I39" s="78">
        <v>295</v>
      </c>
      <c r="J39" s="78">
        <v>10</v>
      </c>
      <c r="K39" s="78">
        <v>1158</v>
      </c>
      <c r="L39" s="78">
        <v>37</v>
      </c>
      <c r="M39" s="78">
        <v>64</v>
      </c>
      <c r="N39" s="78">
        <v>55</v>
      </c>
      <c r="O39" s="78">
        <v>156</v>
      </c>
      <c r="P39" s="78">
        <v>743</v>
      </c>
      <c r="Q39" s="78">
        <v>215</v>
      </c>
      <c r="R39" s="78">
        <v>457</v>
      </c>
      <c r="S39" s="78">
        <v>1571</v>
      </c>
      <c r="T39" s="78">
        <v>150080</v>
      </c>
      <c r="U39" s="112">
        <v>1.50719616204691E-2</v>
      </c>
      <c r="V39" s="112">
        <v>1.8183635394456301E-2</v>
      </c>
      <c r="W39" s="78" t="s">
        <v>28</v>
      </c>
    </row>
    <row r="40" spans="1:23" s="115" customFormat="1" ht="14.45" customHeight="1" x14ac:dyDescent="0.2">
      <c r="A40" s="78" t="s">
        <v>27</v>
      </c>
      <c r="B40" s="78" t="s">
        <v>490</v>
      </c>
      <c r="C40" s="78">
        <v>0</v>
      </c>
      <c r="D40" s="78">
        <v>0</v>
      </c>
      <c r="E40" s="78">
        <v>0</v>
      </c>
      <c r="F40" s="78">
        <v>0</v>
      </c>
      <c r="G40" s="78">
        <v>0</v>
      </c>
      <c r="H40" s="78">
        <v>0</v>
      </c>
      <c r="I40" s="78">
        <v>0</v>
      </c>
      <c r="J40" s="78">
        <v>0</v>
      </c>
      <c r="K40" s="78">
        <v>0</v>
      </c>
      <c r="L40" s="78">
        <v>0</v>
      </c>
      <c r="M40" s="78">
        <v>0</v>
      </c>
      <c r="N40" s="78">
        <v>0</v>
      </c>
      <c r="O40" s="78">
        <v>0</v>
      </c>
      <c r="P40" s="78">
        <v>0</v>
      </c>
      <c r="Q40" s="78">
        <v>0</v>
      </c>
      <c r="R40" s="78">
        <v>0</v>
      </c>
      <c r="S40" s="78">
        <v>0</v>
      </c>
      <c r="T40" s="78">
        <v>520</v>
      </c>
      <c r="U40" s="112">
        <v>0</v>
      </c>
      <c r="V40" s="112">
        <v>0</v>
      </c>
      <c r="W40" s="78" t="s">
        <v>28</v>
      </c>
    </row>
    <row r="41" spans="1:23" s="115" customFormat="1" ht="14.45" customHeight="1" x14ac:dyDescent="0.2">
      <c r="A41" s="78" t="s">
        <v>29</v>
      </c>
      <c r="B41" s="78" t="s">
        <v>488</v>
      </c>
      <c r="C41" s="78">
        <v>17085</v>
      </c>
      <c r="D41" s="78">
        <v>0</v>
      </c>
      <c r="E41" s="78">
        <v>0</v>
      </c>
      <c r="F41" s="78">
        <v>0</v>
      </c>
      <c r="G41" s="78">
        <v>0</v>
      </c>
      <c r="H41" s="78">
        <v>0</v>
      </c>
      <c r="I41" s="78">
        <v>0</v>
      </c>
      <c r="J41" s="78">
        <v>9053</v>
      </c>
      <c r="K41" s="78">
        <v>9053</v>
      </c>
      <c r="L41" s="78">
        <v>0</v>
      </c>
      <c r="M41" s="78">
        <v>0</v>
      </c>
      <c r="N41" s="78">
        <v>0</v>
      </c>
      <c r="O41" s="78">
        <v>0</v>
      </c>
      <c r="P41" s="78">
        <v>0</v>
      </c>
      <c r="Q41" s="78">
        <v>0</v>
      </c>
      <c r="R41" s="78">
        <v>8032</v>
      </c>
      <c r="S41" s="78">
        <v>8032</v>
      </c>
      <c r="T41" s="78">
        <v>17085</v>
      </c>
      <c r="U41" s="112">
        <v>0</v>
      </c>
      <c r="V41" s="112">
        <v>1</v>
      </c>
      <c r="W41" s="78" t="s">
        <v>30</v>
      </c>
    </row>
    <row r="42" spans="1:23" s="115" customFormat="1" ht="14.45" customHeight="1" x14ac:dyDescent="0.2">
      <c r="A42" s="78" t="s">
        <v>363</v>
      </c>
      <c r="B42" s="78" t="s">
        <v>487</v>
      </c>
      <c r="C42" s="78">
        <v>0</v>
      </c>
      <c r="D42" s="78">
        <v>0</v>
      </c>
      <c r="E42" s="78">
        <v>0</v>
      </c>
      <c r="F42" s="78">
        <v>0</v>
      </c>
      <c r="G42" s="78">
        <v>0</v>
      </c>
      <c r="H42" s="78">
        <v>0</v>
      </c>
      <c r="I42" s="78">
        <v>0</v>
      </c>
      <c r="J42" s="78">
        <v>0</v>
      </c>
      <c r="K42" s="78">
        <v>0</v>
      </c>
      <c r="L42" s="78">
        <v>0</v>
      </c>
      <c r="M42" s="78">
        <v>0</v>
      </c>
      <c r="N42" s="78">
        <v>0</v>
      </c>
      <c r="O42" s="78">
        <v>0</v>
      </c>
      <c r="P42" s="78">
        <v>0</v>
      </c>
      <c r="Q42" s="78">
        <v>0</v>
      </c>
      <c r="R42" s="78">
        <v>0</v>
      </c>
      <c r="S42" s="78">
        <v>0</v>
      </c>
      <c r="T42" s="78">
        <v>82625</v>
      </c>
      <c r="U42" s="112">
        <v>0</v>
      </c>
      <c r="V42" s="112">
        <v>0</v>
      </c>
      <c r="W42" s="78" t="s">
        <v>31</v>
      </c>
    </row>
    <row r="43" spans="1:23" s="115" customFormat="1" ht="14.45" customHeight="1" x14ac:dyDescent="0.2">
      <c r="A43" s="78" t="s">
        <v>363</v>
      </c>
      <c r="B43" s="78" t="s">
        <v>491</v>
      </c>
      <c r="C43" s="78">
        <v>0</v>
      </c>
      <c r="D43" s="78">
        <v>0</v>
      </c>
      <c r="E43" s="78">
        <v>0</v>
      </c>
      <c r="F43" s="78">
        <v>0</v>
      </c>
      <c r="G43" s="78">
        <v>0</v>
      </c>
      <c r="H43" s="78">
        <v>0</v>
      </c>
      <c r="I43" s="78">
        <v>0</v>
      </c>
      <c r="J43" s="78">
        <v>0</v>
      </c>
      <c r="K43" s="78">
        <v>0</v>
      </c>
      <c r="L43" s="78">
        <v>0</v>
      </c>
      <c r="M43" s="78">
        <v>0</v>
      </c>
      <c r="N43" s="78">
        <v>0</v>
      </c>
      <c r="O43" s="78">
        <v>0</v>
      </c>
      <c r="P43" s="78">
        <v>0</v>
      </c>
      <c r="Q43" s="78">
        <v>0</v>
      </c>
      <c r="R43" s="78">
        <v>0</v>
      </c>
      <c r="S43" s="78">
        <v>0</v>
      </c>
      <c r="T43" s="78">
        <v>1514</v>
      </c>
      <c r="U43" s="112">
        <v>0</v>
      </c>
      <c r="V43" s="112">
        <v>0</v>
      </c>
      <c r="W43" s="78" t="s">
        <v>31</v>
      </c>
    </row>
    <row r="44" spans="1:23" s="115" customFormat="1" ht="14.45" customHeight="1" x14ac:dyDescent="0.2">
      <c r="A44" s="78" t="s">
        <v>363</v>
      </c>
      <c r="B44" s="78" t="s">
        <v>486</v>
      </c>
      <c r="C44" s="78">
        <v>0</v>
      </c>
      <c r="D44" s="78">
        <v>0</v>
      </c>
      <c r="E44" s="78">
        <v>0</v>
      </c>
      <c r="F44" s="78">
        <v>0</v>
      </c>
      <c r="G44" s="78">
        <v>0</v>
      </c>
      <c r="H44" s="78">
        <v>0</v>
      </c>
      <c r="I44" s="78">
        <v>0</v>
      </c>
      <c r="J44" s="78">
        <v>0</v>
      </c>
      <c r="K44" s="78">
        <v>0</v>
      </c>
      <c r="L44" s="78">
        <v>0</v>
      </c>
      <c r="M44" s="78">
        <v>0</v>
      </c>
      <c r="N44" s="78">
        <v>0</v>
      </c>
      <c r="O44" s="78">
        <v>0</v>
      </c>
      <c r="P44" s="78">
        <v>0</v>
      </c>
      <c r="Q44" s="78">
        <v>0</v>
      </c>
      <c r="R44" s="78">
        <v>0</v>
      </c>
      <c r="S44" s="78">
        <v>0</v>
      </c>
      <c r="T44" s="78">
        <v>34502</v>
      </c>
      <c r="U44" s="112">
        <v>0</v>
      </c>
      <c r="V44" s="112">
        <v>0</v>
      </c>
      <c r="W44" s="78" t="s">
        <v>31</v>
      </c>
    </row>
    <row r="45" spans="1:23" s="115" customFormat="1" ht="14.45" customHeight="1" x14ac:dyDescent="0.2">
      <c r="A45" s="78" t="s">
        <v>363</v>
      </c>
      <c r="B45" s="78" t="s">
        <v>490</v>
      </c>
      <c r="C45" s="78">
        <v>0</v>
      </c>
      <c r="D45" s="78">
        <v>0</v>
      </c>
      <c r="E45" s="78">
        <v>0</v>
      </c>
      <c r="F45" s="78">
        <v>0</v>
      </c>
      <c r="G45" s="78">
        <v>0</v>
      </c>
      <c r="H45" s="78">
        <v>0</v>
      </c>
      <c r="I45" s="78">
        <v>0</v>
      </c>
      <c r="J45" s="78">
        <v>0</v>
      </c>
      <c r="K45" s="78">
        <v>0</v>
      </c>
      <c r="L45" s="78">
        <v>0</v>
      </c>
      <c r="M45" s="78">
        <v>0</v>
      </c>
      <c r="N45" s="78">
        <v>0</v>
      </c>
      <c r="O45" s="78">
        <v>0</v>
      </c>
      <c r="P45" s="78">
        <v>0</v>
      </c>
      <c r="Q45" s="78">
        <v>0</v>
      </c>
      <c r="R45" s="78">
        <v>0</v>
      </c>
      <c r="S45" s="78">
        <v>0</v>
      </c>
      <c r="T45" s="78">
        <v>2239</v>
      </c>
      <c r="U45" s="112">
        <v>0</v>
      </c>
      <c r="V45" s="112">
        <v>0</v>
      </c>
      <c r="W45" s="78" t="s">
        <v>31</v>
      </c>
    </row>
    <row r="46" spans="1:23" s="115" customFormat="1" ht="14.45" customHeight="1" x14ac:dyDescent="0.2">
      <c r="A46" s="78" t="s">
        <v>32</v>
      </c>
      <c r="B46" s="78" t="s">
        <v>487</v>
      </c>
      <c r="C46" s="78">
        <v>38014</v>
      </c>
      <c r="D46" s="78">
        <v>0</v>
      </c>
      <c r="E46" s="78">
        <v>0</v>
      </c>
      <c r="F46" s="78">
        <v>0</v>
      </c>
      <c r="G46" s="78">
        <v>0</v>
      </c>
      <c r="H46" s="78">
        <v>0</v>
      </c>
      <c r="I46" s="78">
        <v>0</v>
      </c>
      <c r="J46" s="78">
        <v>9423</v>
      </c>
      <c r="K46" s="78">
        <v>9423</v>
      </c>
      <c r="L46" s="78">
        <v>0</v>
      </c>
      <c r="M46" s="78">
        <v>0</v>
      </c>
      <c r="N46" s="78">
        <v>0</v>
      </c>
      <c r="O46" s="78">
        <v>0</v>
      </c>
      <c r="P46" s="78">
        <v>0</v>
      </c>
      <c r="Q46" s="78">
        <v>0</v>
      </c>
      <c r="R46" s="78">
        <v>28591</v>
      </c>
      <c r="S46" s="78">
        <v>28591</v>
      </c>
      <c r="T46" s="78">
        <v>38039</v>
      </c>
      <c r="U46" s="112">
        <v>0</v>
      </c>
      <c r="V46" s="112">
        <v>0.99934277977864805</v>
      </c>
      <c r="W46" s="78" t="s">
        <v>33</v>
      </c>
    </row>
    <row r="47" spans="1:23" s="115" customFormat="1" ht="14.45" customHeight="1" x14ac:dyDescent="0.2">
      <c r="A47" s="78" t="s">
        <v>32</v>
      </c>
      <c r="B47" s="78" t="s">
        <v>486</v>
      </c>
      <c r="C47" s="78">
        <v>257811</v>
      </c>
      <c r="D47" s="78">
        <v>17981</v>
      </c>
      <c r="E47" s="78">
        <v>30771</v>
      </c>
      <c r="F47" s="78">
        <v>12802</v>
      </c>
      <c r="G47" s="78">
        <v>61554</v>
      </c>
      <c r="H47" s="78">
        <v>49332</v>
      </c>
      <c r="I47" s="78">
        <v>1178</v>
      </c>
      <c r="J47" s="78">
        <v>0</v>
      </c>
      <c r="K47" s="78">
        <v>112064</v>
      </c>
      <c r="L47" s="78">
        <v>18321</v>
      </c>
      <c r="M47" s="78">
        <v>32935</v>
      </c>
      <c r="N47" s="78">
        <v>15068</v>
      </c>
      <c r="O47" s="78">
        <v>66324</v>
      </c>
      <c r="P47" s="78">
        <v>78080</v>
      </c>
      <c r="Q47" s="78">
        <v>1343</v>
      </c>
      <c r="R47" s="78">
        <v>0</v>
      </c>
      <c r="S47" s="78">
        <v>145747</v>
      </c>
      <c r="T47" s="78">
        <v>257811</v>
      </c>
      <c r="U47" s="112">
        <v>1</v>
      </c>
      <c r="V47" s="112">
        <v>1</v>
      </c>
      <c r="W47" s="78" t="s">
        <v>33</v>
      </c>
    </row>
    <row r="48" spans="1:23" s="115" customFormat="1" ht="14.45" customHeight="1" x14ac:dyDescent="0.2">
      <c r="A48" s="78" t="s">
        <v>32</v>
      </c>
      <c r="B48" s="78" t="s">
        <v>490</v>
      </c>
      <c r="C48" s="78">
        <v>0</v>
      </c>
      <c r="D48" s="78">
        <v>0</v>
      </c>
      <c r="E48" s="78">
        <v>0</v>
      </c>
      <c r="F48" s="78">
        <v>0</v>
      </c>
      <c r="G48" s="78">
        <v>0</v>
      </c>
      <c r="H48" s="78">
        <v>0</v>
      </c>
      <c r="I48" s="78">
        <v>0</v>
      </c>
      <c r="J48" s="78">
        <v>0</v>
      </c>
      <c r="K48" s="78">
        <v>0</v>
      </c>
      <c r="L48" s="78">
        <v>0</v>
      </c>
      <c r="M48" s="78">
        <v>0</v>
      </c>
      <c r="N48" s="78">
        <v>0</v>
      </c>
      <c r="O48" s="78">
        <v>0</v>
      </c>
      <c r="P48" s="78">
        <v>0</v>
      </c>
      <c r="Q48" s="78">
        <v>0</v>
      </c>
      <c r="R48" s="78">
        <v>0</v>
      </c>
      <c r="S48" s="78">
        <v>0</v>
      </c>
      <c r="T48" s="78">
        <v>1384</v>
      </c>
      <c r="U48" s="112">
        <v>0</v>
      </c>
      <c r="V48" s="112">
        <v>0</v>
      </c>
      <c r="W48" s="78" t="s">
        <v>33</v>
      </c>
    </row>
    <row r="49" spans="1:23" s="115" customFormat="1" ht="14.45" customHeight="1" x14ac:dyDescent="0.2">
      <c r="A49" s="78" t="s">
        <v>34</v>
      </c>
      <c r="B49" s="78" t="s">
        <v>487</v>
      </c>
      <c r="C49" s="78">
        <v>168</v>
      </c>
      <c r="D49" s="78">
        <v>0</v>
      </c>
      <c r="E49" s="78">
        <v>15</v>
      </c>
      <c r="F49" s="78">
        <v>5</v>
      </c>
      <c r="G49" s="78">
        <v>20</v>
      </c>
      <c r="H49" s="78">
        <v>72</v>
      </c>
      <c r="I49" s="78">
        <v>5</v>
      </c>
      <c r="J49" s="78">
        <v>0</v>
      </c>
      <c r="K49" s="78">
        <v>97</v>
      </c>
      <c r="L49" s="78">
        <v>0</v>
      </c>
      <c r="M49" s="78">
        <v>12</v>
      </c>
      <c r="N49" s="78">
        <v>17</v>
      </c>
      <c r="O49" s="78">
        <v>29</v>
      </c>
      <c r="P49" s="78">
        <v>35</v>
      </c>
      <c r="Q49" s="78">
        <v>7</v>
      </c>
      <c r="R49" s="78">
        <v>0</v>
      </c>
      <c r="S49" s="78">
        <v>71</v>
      </c>
      <c r="T49" s="78">
        <v>168</v>
      </c>
      <c r="U49" s="112">
        <v>1</v>
      </c>
      <c r="V49" s="112">
        <v>1</v>
      </c>
      <c r="W49" s="78" t="s">
        <v>35</v>
      </c>
    </row>
    <row r="50" spans="1:23" s="115" customFormat="1" ht="14.45" customHeight="1" x14ac:dyDescent="0.2">
      <c r="A50" s="78" t="s">
        <v>34</v>
      </c>
      <c r="B50" s="78" t="s">
        <v>489</v>
      </c>
      <c r="C50" s="78">
        <v>657749</v>
      </c>
      <c r="D50" s="78">
        <v>17705</v>
      </c>
      <c r="E50" s="78">
        <v>31926</v>
      </c>
      <c r="F50" s="78">
        <v>32865</v>
      </c>
      <c r="G50" s="78">
        <v>82496</v>
      </c>
      <c r="H50" s="78">
        <v>207160</v>
      </c>
      <c r="I50" s="78">
        <v>44727</v>
      </c>
      <c r="J50" s="78">
        <v>0</v>
      </c>
      <c r="K50" s="78">
        <v>334383</v>
      </c>
      <c r="L50" s="78">
        <v>18705</v>
      </c>
      <c r="M50" s="78">
        <v>35744</v>
      </c>
      <c r="N50" s="78">
        <v>36428</v>
      </c>
      <c r="O50" s="78">
        <v>90877</v>
      </c>
      <c r="P50" s="78">
        <v>199661</v>
      </c>
      <c r="Q50" s="78">
        <v>32828</v>
      </c>
      <c r="R50" s="78">
        <v>0</v>
      </c>
      <c r="S50" s="78">
        <v>323366</v>
      </c>
      <c r="T50" s="78">
        <v>657749</v>
      </c>
      <c r="U50" s="112">
        <v>1</v>
      </c>
      <c r="V50" s="112">
        <v>1</v>
      </c>
      <c r="W50" s="78" t="s">
        <v>35</v>
      </c>
    </row>
    <row r="51" spans="1:23" s="115" customFormat="1" ht="14.45" customHeight="1" x14ac:dyDescent="0.2">
      <c r="A51" s="78" t="s">
        <v>34</v>
      </c>
      <c r="B51" s="78" t="s">
        <v>486</v>
      </c>
      <c r="C51" s="78">
        <v>5771</v>
      </c>
      <c r="D51" s="78">
        <v>202</v>
      </c>
      <c r="E51" s="78">
        <v>365</v>
      </c>
      <c r="F51" s="78">
        <v>259</v>
      </c>
      <c r="G51" s="78">
        <v>826</v>
      </c>
      <c r="H51" s="78">
        <v>1934</v>
      </c>
      <c r="I51" s="78">
        <v>196</v>
      </c>
      <c r="J51" s="78">
        <v>0</v>
      </c>
      <c r="K51" s="78">
        <v>2956</v>
      </c>
      <c r="L51" s="78">
        <v>218</v>
      </c>
      <c r="M51" s="78">
        <v>397</v>
      </c>
      <c r="N51" s="78">
        <v>336</v>
      </c>
      <c r="O51" s="78">
        <v>951</v>
      </c>
      <c r="P51" s="78">
        <v>1552</v>
      </c>
      <c r="Q51" s="78">
        <v>312</v>
      </c>
      <c r="R51" s="78">
        <v>0</v>
      </c>
      <c r="S51" s="78">
        <v>2815</v>
      </c>
      <c r="T51" s="78">
        <v>5771</v>
      </c>
      <c r="U51" s="112">
        <v>1</v>
      </c>
      <c r="V51" s="112">
        <v>1</v>
      </c>
      <c r="W51" s="78" t="s">
        <v>35</v>
      </c>
    </row>
    <row r="52" spans="1:23" s="115" customFormat="1" ht="14.45" customHeight="1" x14ac:dyDescent="0.2">
      <c r="A52" s="78" t="s">
        <v>34</v>
      </c>
      <c r="B52" s="78" t="s">
        <v>490</v>
      </c>
      <c r="C52" s="78">
        <v>513</v>
      </c>
      <c r="D52" s="78">
        <v>0</v>
      </c>
      <c r="E52" s="78">
        <v>0</v>
      </c>
      <c r="F52" s="78">
        <v>0</v>
      </c>
      <c r="G52" s="78">
        <v>0</v>
      </c>
      <c r="H52" s="78">
        <v>60</v>
      </c>
      <c r="I52" s="78">
        <v>155</v>
      </c>
      <c r="J52" s="78">
        <v>0</v>
      </c>
      <c r="K52" s="78">
        <v>215</v>
      </c>
      <c r="L52" s="78">
        <v>5</v>
      </c>
      <c r="M52" s="78">
        <v>6</v>
      </c>
      <c r="N52" s="78">
        <v>5</v>
      </c>
      <c r="O52" s="78">
        <v>16</v>
      </c>
      <c r="P52" s="78">
        <v>97</v>
      </c>
      <c r="Q52" s="78">
        <v>185</v>
      </c>
      <c r="R52" s="78">
        <v>0</v>
      </c>
      <c r="S52" s="78">
        <v>298</v>
      </c>
      <c r="T52" s="78">
        <v>513</v>
      </c>
      <c r="U52" s="112">
        <v>1</v>
      </c>
      <c r="V52" s="112">
        <v>1</v>
      </c>
      <c r="W52" s="78" t="s">
        <v>35</v>
      </c>
    </row>
    <row r="53" spans="1:23" s="115" customFormat="1" ht="14.45" customHeight="1" x14ac:dyDescent="0.2">
      <c r="A53" s="78" t="s">
        <v>36</v>
      </c>
      <c r="B53" s="78" t="s">
        <v>487</v>
      </c>
      <c r="C53" s="78">
        <v>0</v>
      </c>
      <c r="D53" s="78">
        <v>0</v>
      </c>
      <c r="E53" s="78">
        <v>0</v>
      </c>
      <c r="F53" s="78">
        <v>0</v>
      </c>
      <c r="G53" s="78">
        <v>0</v>
      </c>
      <c r="H53" s="78">
        <v>0</v>
      </c>
      <c r="I53" s="78">
        <v>0</v>
      </c>
      <c r="J53" s="78">
        <v>0</v>
      </c>
      <c r="K53" s="78">
        <v>0</v>
      </c>
      <c r="L53" s="78">
        <v>0</v>
      </c>
      <c r="M53" s="78">
        <v>0</v>
      </c>
      <c r="N53" s="78">
        <v>0</v>
      </c>
      <c r="O53" s="78">
        <v>0</v>
      </c>
      <c r="P53" s="78">
        <v>0</v>
      </c>
      <c r="Q53" s="78">
        <v>0</v>
      </c>
      <c r="R53" s="78">
        <v>0</v>
      </c>
      <c r="S53" s="78">
        <v>0</v>
      </c>
      <c r="T53" s="78">
        <v>31</v>
      </c>
      <c r="U53" s="112">
        <v>0</v>
      </c>
      <c r="V53" s="112">
        <v>0</v>
      </c>
      <c r="W53" s="78" t="s">
        <v>37</v>
      </c>
    </row>
    <row r="54" spans="1:23" s="115" customFormat="1" ht="14.45" customHeight="1" x14ac:dyDescent="0.2">
      <c r="A54" s="78" t="s">
        <v>36</v>
      </c>
      <c r="B54" s="78" t="s">
        <v>491</v>
      </c>
      <c r="C54" s="78">
        <v>0</v>
      </c>
      <c r="D54" s="78">
        <v>0</v>
      </c>
      <c r="E54" s="78">
        <v>0</v>
      </c>
      <c r="F54" s="78">
        <v>0</v>
      </c>
      <c r="G54" s="78">
        <v>0</v>
      </c>
      <c r="H54" s="78">
        <v>0</v>
      </c>
      <c r="I54" s="78">
        <v>0</v>
      </c>
      <c r="J54" s="78">
        <v>0</v>
      </c>
      <c r="K54" s="78">
        <v>0</v>
      </c>
      <c r="L54" s="78">
        <v>0</v>
      </c>
      <c r="M54" s="78">
        <v>0</v>
      </c>
      <c r="N54" s="78">
        <v>0</v>
      </c>
      <c r="O54" s="78">
        <v>0</v>
      </c>
      <c r="P54" s="78">
        <v>0</v>
      </c>
      <c r="Q54" s="78">
        <v>0</v>
      </c>
      <c r="R54" s="78">
        <v>0</v>
      </c>
      <c r="S54" s="78">
        <v>0</v>
      </c>
      <c r="T54" s="78">
        <v>723</v>
      </c>
      <c r="U54" s="112">
        <v>0</v>
      </c>
      <c r="V54" s="112">
        <v>0</v>
      </c>
      <c r="W54" s="78" t="s">
        <v>37</v>
      </c>
    </row>
    <row r="55" spans="1:23" s="115" customFormat="1" ht="14.45" customHeight="1" x14ac:dyDescent="0.2">
      <c r="A55" s="78" t="s">
        <v>38</v>
      </c>
      <c r="B55" s="78" t="s">
        <v>487</v>
      </c>
      <c r="C55" s="78">
        <v>122</v>
      </c>
      <c r="D55" s="78">
        <v>0</v>
      </c>
      <c r="E55" s="78">
        <v>12</v>
      </c>
      <c r="F55" s="78">
        <v>5</v>
      </c>
      <c r="G55" s="78">
        <v>17</v>
      </c>
      <c r="H55" s="78">
        <v>35</v>
      </c>
      <c r="I55" s="78">
        <v>6</v>
      </c>
      <c r="J55" s="78">
        <v>0</v>
      </c>
      <c r="K55" s="78">
        <v>58</v>
      </c>
      <c r="L55" s="78">
        <v>0</v>
      </c>
      <c r="M55" s="78">
        <v>5</v>
      </c>
      <c r="N55" s="78">
        <v>17</v>
      </c>
      <c r="O55" s="78">
        <v>22</v>
      </c>
      <c r="P55" s="78">
        <v>36</v>
      </c>
      <c r="Q55" s="78">
        <v>6</v>
      </c>
      <c r="R55" s="78">
        <v>0</v>
      </c>
      <c r="S55" s="78">
        <v>64</v>
      </c>
      <c r="T55" s="78">
        <v>122</v>
      </c>
      <c r="U55" s="112">
        <v>1</v>
      </c>
      <c r="V55" s="112">
        <v>1</v>
      </c>
      <c r="W55" s="78" t="s">
        <v>39</v>
      </c>
    </row>
    <row r="56" spans="1:23" s="115" customFormat="1" ht="14.45" customHeight="1" x14ac:dyDescent="0.2">
      <c r="A56" s="78" t="s">
        <v>38</v>
      </c>
      <c r="B56" s="78" t="s">
        <v>486</v>
      </c>
      <c r="C56" s="78">
        <v>254</v>
      </c>
      <c r="D56" s="78">
        <v>0</v>
      </c>
      <c r="E56" s="78">
        <v>13</v>
      </c>
      <c r="F56" s="78">
        <v>13</v>
      </c>
      <c r="G56" s="78">
        <v>26</v>
      </c>
      <c r="H56" s="78">
        <v>88</v>
      </c>
      <c r="I56" s="78">
        <v>12</v>
      </c>
      <c r="J56" s="78">
        <v>0</v>
      </c>
      <c r="K56" s="78">
        <v>126</v>
      </c>
      <c r="L56" s="78">
        <v>0</v>
      </c>
      <c r="M56" s="78">
        <v>14</v>
      </c>
      <c r="N56" s="78">
        <v>11</v>
      </c>
      <c r="O56" s="78">
        <v>25</v>
      </c>
      <c r="P56" s="78">
        <v>86</v>
      </c>
      <c r="Q56" s="78">
        <v>17</v>
      </c>
      <c r="R56" s="78">
        <v>0</v>
      </c>
      <c r="S56" s="78">
        <v>128</v>
      </c>
      <c r="T56" s="78">
        <v>254</v>
      </c>
      <c r="U56" s="112">
        <v>1</v>
      </c>
      <c r="V56" s="112">
        <v>1</v>
      </c>
      <c r="W56" s="78" t="s">
        <v>39</v>
      </c>
    </row>
    <row r="57" spans="1:23" s="115" customFormat="1" ht="14.45" customHeight="1" x14ac:dyDescent="0.2">
      <c r="A57" s="78" t="s">
        <v>40</v>
      </c>
      <c r="B57" s="78" t="s">
        <v>486</v>
      </c>
      <c r="C57" s="78">
        <v>971984</v>
      </c>
      <c r="D57" s="78">
        <v>72844</v>
      </c>
      <c r="E57" s="78">
        <v>97595</v>
      </c>
      <c r="F57" s="78">
        <v>72074</v>
      </c>
      <c r="G57" s="78">
        <v>242513</v>
      </c>
      <c r="H57" s="78">
        <v>239038</v>
      </c>
      <c r="I57" s="78">
        <v>17568</v>
      </c>
      <c r="J57" s="78">
        <v>0</v>
      </c>
      <c r="K57" s="78">
        <v>499119</v>
      </c>
      <c r="L57" s="78">
        <v>75928</v>
      </c>
      <c r="M57" s="78">
        <v>101474</v>
      </c>
      <c r="N57" s="78">
        <v>76273</v>
      </c>
      <c r="O57" s="78">
        <v>253675</v>
      </c>
      <c r="P57" s="78">
        <v>196429</v>
      </c>
      <c r="Q57" s="78">
        <v>22761</v>
      </c>
      <c r="R57" s="78">
        <v>0</v>
      </c>
      <c r="S57" s="78">
        <v>472865</v>
      </c>
      <c r="T57" s="78">
        <v>971984</v>
      </c>
      <c r="U57" s="112">
        <v>1</v>
      </c>
      <c r="V57" s="112">
        <v>1</v>
      </c>
      <c r="W57" s="78" t="s">
        <v>41</v>
      </c>
    </row>
    <row r="58" spans="1:23" s="115" customFormat="1" ht="14.45" customHeight="1" x14ac:dyDescent="0.2">
      <c r="A58" s="78" t="s">
        <v>364</v>
      </c>
      <c r="B58" s="78" t="s">
        <v>487</v>
      </c>
      <c r="C58" s="78">
        <v>10</v>
      </c>
      <c r="D58" s="78">
        <v>0</v>
      </c>
      <c r="E58" s="78">
        <v>5</v>
      </c>
      <c r="F58" s="78">
        <v>0</v>
      </c>
      <c r="G58" s="78">
        <v>5</v>
      </c>
      <c r="H58" s="78">
        <v>0</v>
      </c>
      <c r="I58" s="78">
        <v>0</v>
      </c>
      <c r="J58" s="78">
        <v>0</v>
      </c>
      <c r="K58" s="78">
        <v>5</v>
      </c>
      <c r="L58" s="78">
        <v>0</v>
      </c>
      <c r="M58" s="78">
        <v>0</v>
      </c>
      <c r="N58" s="78">
        <v>0</v>
      </c>
      <c r="O58" s="78">
        <v>0</v>
      </c>
      <c r="P58" s="78">
        <v>5</v>
      </c>
      <c r="Q58" s="78">
        <v>0</v>
      </c>
      <c r="R58" s="78">
        <v>0</v>
      </c>
      <c r="S58" s="78">
        <v>5</v>
      </c>
      <c r="T58" s="78">
        <v>10</v>
      </c>
      <c r="U58" s="112">
        <v>1</v>
      </c>
      <c r="V58" s="112">
        <v>1</v>
      </c>
      <c r="W58" s="78" t="s">
        <v>365</v>
      </c>
    </row>
    <row r="59" spans="1:23" s="115" customFormat="1" ht="14.45" customHeight="1" x14ac:dyDescent="0.2">
      <c r="A59" s="78" t="s">
        <v>364</v>
      </c>
      <c r="B59" s="78" t="s">
        <v>486</v>
      </c>
      <c r="C59" s="78">
        <v>5</v>
      </c>
      <c r="D59" s="78">
        <v>0</v>
      </c>
      <c r="E59" s="78">
        <v>0</v>
      </c>
      <c r="F59" s="78">
        <v>0</v>
      </c>
      <c r="G59" s="78">
        <v>0</v>
      </c>
      <c r="H59" s="78">
        <v>5</v>
      </c>
      <c r="I59" s="78">
        <v>0</v>
      </c>
      <c r="J59" s="78">
        <v>0</v>
      </c>
      <c r="K59" s="78">
        <v>5</v>
      </c>
      <c r="L59" s="78">
        <v>0</v>
      </c>
      <c r="M59" s="78">
        <v>0</v>
      </c>
      <c r="N59" s="78">
        <v>0</v>
      </c>
      <c r="O59" s="78">
        <v>0</v>
      </c>
      <c r="P59" s="78">
        <v>0</v>
      </c>
      <c r="Q59" s="78">
        <v>0</v>
      </c>
      <c r="R59" s="78">
        <v>0</v>
      </c>
      <c r="S59" s="78">
        <v>0</v>
      </c>
      <c r="T59" s="78">
        <v>5</v>
      </c>
      <c r="U59" s="112">
        <v>1</v>
      </c>
      <c r="V59" s="112">
        <v>1</v>
      </c>
      <c r="W59" s="78" t="s">
        <v>365</v>
      </c>
    </row>
    <row r="60" spans="1:23" s="115" customFormat="1" ht="14.45" customHeight="1" x14ac:dyDescent="0.2">
      <c r="A60" s="78" t="s">
        <v>42</v>
      </c>
      <c r="B60" s="78" t="s">
        <v>487</v>
      </c>
      <c r="C60" s="78">
        <v>177</v>
      </c>
      <c r="D60" s="78">
        <v>0</v>
      </c>
      <c r="E60" s="78">
        <v>25</v>
      </c>
      <c r="F60" s="78">
        <v>0</v>
      </c>
      <c r="G60" s="78">
        <v>25</v>
      </c>
      <c r="H60" s="78">
        <v>56</v>
      </c>
      <c r="I60" s="78">
        <v>11</v>
      </c>
      <c r="J60" s="78">
        <v>0</v>
      </c>
      <c r="K60" s="78">
        <v>92</v>
      </c>
      <c r="L60" s="78">
        <v>0</v>
      </c>
      <c r="M60" s="78">
        <v>31</v>
      </c>
      <c r="N60" s="78">
        <v>0</v>
      </c>
      <c r="O60" s="78">
        <v>31</v>
      </c>
      <c r="P60" s="78">
        <v>54</v>
      </c>
      <c r="Q60" s="78">
        <v>0</v>
      </c>
      <c r="R60" s="78">
        <v>0</v>
      </c>
      <c r="S60" s="78">
        <v>85</v>
      </c>
      <c r="T60" s="78">
        <v>405</v>
      </c>
      <c r="U60" s="112">
        <v>0.437037037037037</v>
      </c>
      <c r="V60" s="112">
        <v>0.437037037037037</v>
      </c>
      <c r="W60" s="78" t="s">
        <v>43</v>
      </c>
    </row>
    <row r="61" spans="1:23" s="115" customFormat="1" ht="14.45" customHeight="1" x14ac:dyDescent="0.2">
      <c r="A61" s="78" t="s">
        <v>42</v>
      </c>
      <c r="B61" s="78" t="s">
        <v>486</v>
      </c>
      <c r="C61" s="78">
        <v>3472</v>
      </c>
      <c r="D61" s="78">
        <v>70</v>
      </c>
      <c r="E61" s="78">
        <v>225</v>
      </c>
      <c r="F61" s="78">
        <v>111</v>
      </c>
      <c r="G61" s="78">
        <v>406</v>
      </c>
      <c r="H61" s="78">
        <v>1131</v>
      </c>
      <c r="I61" s="78">
        <v>432</v>
      </c>
      <c r="J61" s="78">
        <v>0</v>
      </c>
      <c r="K61" s="78">
        <v>1969</v>
      </c>
      <c r="L61" s="78">
        <v>70</v>
      </c>
      <c r="M61" s="78">
        <v>227</v>
      </c>
      <c r="N61" s="78">
        <v>157</v>
      </c>
      <c r="O61" s="78">
        <v>454</v>
      </c>
      <c r="P61" s="78">
        <v>872</v>
      </c>
      <c r="Q61" s="78">
        <v>172</v>
      </c>
      <c r="R61" s="78">
        <v>5</v>
      </c>
      <c r="S61" s="78">
        <v>1503</v>
      </c>
      <c r="T61" s="78">
        <v>39981</v>
      </c>
      <c r="U61" s="112">
        <v>8.6716190190340395E-2</v>
      </c>
      <c r="V61" s="112">
        <v>8.6841249593556893E-2</v>
      </c>
      <c r="W61" s="78" t="s">
        <v>43</v>
      </c>
    </row>
    <row r="62" spans="1:23" s="115" customFormat="1" ht="14.45" customHeight="1" x14ac:dyDescent="0.2">
      <c r="A62" s="78" t="s">
        <v>42</v>
      </c>
      <c r="B62" s="78" t="s">
        <v>490</v>
      </c>
      <c r="C62" s="78">
        <v>5567</v>
      </c>
      <c r="D62" s="78">
        <v>0</v>
      </c>
      <c r="E62" s="78">
        <v>0</v>
      </c>
      <c r="F62" s="78">
        <v>0</v>
      </c>
      <c r="G62" s="78">
        <v>0</v>
      </c>
      <c r="H62" s="78">
        <v>1569</v>
      </c>
      <c r="I62" s="78">
        <v>908</v>
      </c>
      <c r="J62" s="78">
        <v>32</v>
      </c>
      <c r="K62" s="78">
        <v>2509</v>
      </c>
      <c r="L62" s="78">
        <v>0</v>
      </c>
      <c r="M62" s="78">
        <v>0</v>
      </c>
      <c r="N62" s="78">
        <v>0</v>
      </c>
      <c r="O62" s="78">
        <v>0</v>
      </c>
      <c r="P62" s="78">
        <v>2285</v>
      </c>
      <c r="Q62" s="78">
        <v>758</v>
      </c>
      <c r="R62" s="78">
        <v>15</v>
      </c>
      <c r="S62" s="78">
        <v>3058</v>
      </c>
      <c r="T62" s="78">
        <v>5567</v>
      </c>
      <c r="U62" s="112">
        <v>0.99155739177294799</v>
      </c>
      <c r="V62" s="112">
        <v>1</v>
      </c>
      <c r="W62" s="78" t="s">
        <v>43</v>
      </c>
    </row>
    <row r="63" spans="1:23" s="115" customFormat="1" ht="14.45" customHeight="1" x14ac:dyDescent="0.2">
      <c r="A63" s="78" t="s">
        <v>44</v>
      </c>
      <c r="B63" s="78" t="s">
        <v>487</v>
      </c>
      <c r="C63" s="78">
        <v>44595</v>
      </c>
      <c r="D63" s="78">
        <v>0</v>
      </c>
      <c r="E63" s="78">
        <v>0</v>
      </c>
      <c r="F63" s="78">
        <v>0</v>
      </c>
      <c r="G63" s="78">
        <v>0</v>
      </c>
      <c r="H63" s="78">
        <v>0</v>
      </c>
      <c r="I63" s="78">
        <v>0</v>
      </c>
      <c r="J63" s="78">
        <v>13717</v>
      </c>
      <c r="K63" s="78">
        <v>13717</v>
      </c>
      <c r="L63" s="78">
        <v>0</v>
      </c>
      <c r="M63" s="78">
        <v>0</v>
      </c>
      <c r="N63" s="78">
        <v>0</v>
      </c>
      <c r="O63" s="78">
        <v>0</v>
      </c>
      <c r="P63" s="78">
        <v>0</v>
      </c>
      <c r="Q63" s="78">
        <v>0</v>
      </c>
      <c r="R63" s="78">
        <v>30878</v>
      </c>
      <c r="S63" s="78">
        <v>30878</v>
      </c>
      <c r="T63" s="78">
        <v>44600</v>
      </c>
      <c r="U63" s="112">
        <v>0</v>
      </c>
      <c r="V63" s="112">
        <v>0.99988789237668196</v>
      </c>
      <c r="W63" s="78" t="s">
        <v>45</v>
      </c>
    </row>
    <row r="64" spans="1:23" s="115" customFormat="1" ht="14.45" customHeight="1" x14ac:dyDescent="0.2">
      <c r="A64" s="78" t="s">
        <v>44</v>
      </c>
      <c r="B64" s="78" t="s">
        <v>491</v>
      </c>
      <c r="C64" s="78">
        <v>679</v>
      </c>
      <c r="D64" s="78">
        <v>0</v>
      </c>
      <c r="E64" s="78">
        <v>0</v>
      </c>
      <c r="F64" s="78">
        <v>0</v>
      </c>
      <c r="G64" s="78">
        <v>0</v>
      </c>
      <c r="H64" s="78">
        <v>0</v>
      </c>
      <c r="I64" s="78">
        <v>0</v>
      </c>
      <c r="J64" s="78">
        <v>266</v>
      </c>
      <c r="K64" s="78">
        <v>266</v>
      </c>
      <c r="L64" s="78">
        <v>0</v>
      </c>
      <c r="M64" s="78">
        <v>0</v>
      </c>
      <c r="N64" s="78">
        <v>0</v>
      </c>
      <c r="O64" s="78">
        <v>0</v>
      </c>
      <c r="P64" s="78">
        <v>0</v>
      </c>
      <c r="Q64" s="78">
        <v>0</v>
      </c>
      <c r="R64" s="78">
        <v>413</v>
      </c>
      <c r="S64" s="78">
        <v>413</v>
      </c>
      <c r="T64" s="78">
        <v>679</v>
      </c>
      <c r="U64" s="112">
        <v>0</v>
      </c>
      <c r="V64" s="112">
        <v>1</v>
      </c>
      <c r="W64" s="78" t="s">
        <v>45</v>
      </c>
    </row>
    <row r="65" spans="1:23" s="115" customFormat="1" ht="14.45" customHeight="1" x14ac:dyDescent="0.2">
      <c r="A65" s="78" t="s">
        <v>44</v>
      </c>
      <c r="B65" s="78" t="s">
        <v>486</v>
      </c>
      <c r="C65" s="78">
        <v>167831</v>
      </c>
      <c r="D65" s="78">
        <v>0</v>
      </c>
      <c r="E65" s="78">
        <v>0</v>
      </c>
      <c r="F65" s="78">
        <v>0</v>
      </c>
      <c r="G65" s="78">
        <v>0</v>
      </c>
      <c r="H65" s="78">
        <v>0</v>
      </c>
      <c r="I65" s="78">
        <v>0</v>
      </c>
      <c r="J65" s="78">
        <v>83004</v>
      </c>
      <c r="K65" s="78">
        <v>83004</v>
      </c>
      <c r="L65" s="78">
        <v>0</v>
      </c>
      <c r="M65" s="78">
        <v>0</v>
      </c>
      <c r="N65" s="78">
        <v>0</v>
      </c>
      <c r="O65" s="78">
        <v>0</v>
      </c>
      <c r="P65" s="78">
        <v>0</v>
      </c>
      <c r="Q65" s="78">
        <v>0</v>
      </c>
      <c r="R65" s="78">
        <v>84827</v>
      </c>
      <c r="S65" s="78">
        <v>84827</v>
      </c>
      <c r="T65" s="78">
        <v>167831</v>
      </c>
      <c r="U65" s="112">
        <v>0</v>
      </c>
      <c r="V65" s="112">
        <v>1</v>
      </c>
      <c r="W65" s="78" t="s">
        <v>45</v>
      </c>
    </row>
    <row r="66" spans="1:23" s="115" customFormat="1" ht="14.45" customHeight="1" x14ac:dyDescent="0.2">
      <c r="A66" s="78" t="s">
        <v>46</v>
      </c>
      <c r="B66" s="78" t="s">
        <v>487</v>
      </c>
      <c r="C66" s="78">
        <v>0</v>
      </c>
      <c r="D66" s="78">
        <v>0</v>
      </c>
      <c r="E66" s="78">
        <v>0</v>
      </c>
      <c r="F66" s="78">
        <v>0</v>
      </c>
      <c r="G66" s="78">
        <v>0</v>
      </c>
      <c r="H66" s="78">
        <v>0</v>
      </c>
      <c r="I66" s="78">
        <v>0</v>
      </c>
      <c r="J66" s="78">
        <v>0</v>
      </c>
      <c r="K66" s="78">
        <v>0</v>
      </c>
      <c r="L66" s="78">
        <v>0</v>
      </c>
      <c r="M66" s="78">
        <v>0</v>
      </c>
      <c r="N66" s="78">
        <v>0</v>
      </c>
      <c r="O66" s="78">
        <v>0</v>
      </c>
      <c r="P66" s="78">
        <v>0</v>
      </c>
      <c r="Q66" s="78">
        <v>0</v>
      </c>
      <c r="R66" s="78">
        <v>0</v>
      </c>
      <c r="S66" s="78">
        <v>0</v>
      </c>
      <c r="T66" s="78">
        <v>1973</v>
      </c>
      <c r="U66" s="112">
        <v>0</v>
      </c>
      <c r="V66" s="112">
        <v>0</v>
      </c>
      <c r="W66" s="78" t="s">
        <v>47</v>
      </c>
    </row>
    <row r="67" spans="1:23" s="115" customFormat="1" ht="14.45" customHeight="1" x14ac:dyDescent="0.2">
      <c r="A67" s="78" t="s">
        <v>46</v>
      </c>
      <c r="B67" s="78" t="s">
        <v>491</v>
      </c>
      <c r="C67" s="78">
        <v>0</v>
      </c>
      <c r="D67" s="78">
        <v>0</v>
      </c>
      <c r="E67" s="78">
        <v>0</v>
      </c>
      <c r="F67" s="78">
        <v>0</v>
      </c>
      <c r="G67" s="78">
        <v>0</v>
      </c>
      <c r="H67" s="78">
        <v>0</v>
      </c>
      <c r="I67" s="78">
        <v>0</v>
      </c>
      <c r="J67" s="78">
        <v>0</v>
      </c>
      <c r="K67" s="78">
        <v>0</v>
      </c>
      <c r="L67" s="78">
        <v>0</v>
      </c>
      <c r="M67" s="78">
        <v>0</v>
      </c>
      <c r="N67" s="78">
        <v>0</v>
      </c>
      <c r="O67" s="78">
        <v>0</v>
      </c>
      <c r="P67" s="78">
        <v>0</v>
      </c>
      <c r="Q67" s="78">
        <v>0</v>
      </c>
      <c r="R67" s="78">
        <v>0</v>
      </c>
      <c r="S67" s="78">
        <v>0</v>
      </c>
      <c r="T67" s="78">
        <v>9452</v>
      </c>
      <c r="U67" s="112">
        <v>0</v>
      </c>
      <c r="V67" s="112">
        <v>0</v>
      </c>
      <c r="W67" s="78" t="s">
        <v>47</v>
      </c>
    </row>
    <row r="68" spans="1:23" s="115" customFormat="1" ht="14.45" customHeight="1" x14ac:dyDescent="0.2">
      <c r="A68" s="78" t="s">
        <v>46</v>
      </c>
      <c r="B68" s="78" t="s">
        <v>486</v>
      </c>
      <c r="C68" s="78">
        <v>0</v>
      </c>
      <c r="D68" s="78">
        <v>0</v>
      </c>
      <c r="E68" s="78">
        <v>0</v>
      </c>
      <c r="F68" s="78">
        <v>0</v>
      </c>
      <c r="G68" s="78">
        <v>0</v>
      </c>
      <c r="H68" s="78">
        <v>0</v>
      </c>
      <c r="I68" s="78">
        <v>0</v>
      </c>
      <c r="J68" s="78">
        <v>0</v>
      </c>
      <c r="K68" s="78">
        <v>0</v>
      </c>
      <c r="L68" s="78">
        <v>0</v>
      </c>
      <c r="M68" s="78">
        <v>0</v>
      </c>
      <c r="N68" s="78">
        <v>0</v>
      </c>
      <c r="O68" s="78">
        <v>0</v>
      </c>
      <c r="P68" s="78">
        <v>0</v>
      </c>
      <c r="Q68" s="78">
        <v>0</v>
      </c>
      <c r="R68" s="78">
        <v>0</v>
      </c>
      <c r="S68" s="78">
        <v>0</v>
      </c>
      <c r="T68" s="78">
        <v>214</v>
      </c>
      <c r="U68" s="112">
        <v>0</v>
      </c>
      <c r="V68" s="112">
        <v>0</v>
      </c>
      <c r="W68" s="78" t="s">
        <v>47</v>
      </c>
    </row>
    <row r="69" spans="1:23" s="115" customFormat="1" ht="14.45" customHeight="1" x14ac:dyDescent="0.2">
      <c r="A69" s="78" t="s">
        <v>48</v>
      </c>
      <c r="B69" s="78" t="s">
        <v>487</v>
      </c>
      <c r="C69" s="78">
        <v>10133</v>
      </c>
      <c r="D69" s="78">
        <v>912</v>
      </c>
      <c r="E69" s="78">
        <v>1071</v>
      </c>
      <c r="F69" s="78">
        <v>437</v>
      </c>
      <c r="G69" s="78">
        <v>2420</v>
      </c>
      <c r="H69" s="78">
        <v>3063</v>
      </c>
      <c r="I69" s="78">
        <v>212</v>
      </c>
      <c r="J69" s="78">
        <v>0</v>
      </c>
      <c r="K69" s="78">
        <v>5695</v>
      </c>
      <c r="L69" s="78">
        <v>922</v>
      </c>
      <c r="M69" s="78">
        <v>958</v>
      </c>
      <c r="N69" s="78">
        <v>425</v>
      </c>
      <c r="O69" s="78">
        <v>2305</v>
      </c>
      <c r="P69" s="78">
        <v>2023</v>
      </c>
      <c r="Q69" s="78">
        <v>110</v>
      </c>
      <c r="R69" s="78">
        <v>0</v>
      </c>
      <c r="S69" s="78">
        <v>4438</v>
      </c>
      <c r="T69" s="78">
        <v>10133</v>
      </c>
      <c r="U69" s="112">
        <v>1</v>
      </c>
      <c r="V69" s="112">
        <v>1</v>
      </c>
      <c r="W69" s="78" t="s">
        <v>49</v>
      </c>
    </row>
    <row r="70" spans="1:23" s="115" customFormat="1" ht="14.45" customHeight="1" x14ac:dyDescent="0.2">
      <c r="A70" s="78" t="s">
        <v>48</v>
      </c>
      <c r="B70" s="78" t="s">
        <v>489</v>
      </c>
      <c r="C70" s="78">
        <v>0</v>
      </c>
      <c r="D70" s="78">
        <v>0</v>
      </c>
      <c r="E70" s="78">
        <v>0</v>
      </c>
      <c r="F70" s="78">
        <v>0</v>
      </c>
      <c r="G70" s="78">
        <v>0</v>
      </c>
      <c r="H70" s="78">
        <v>0</v>
      </c>
      <c r="I70" s="78">
        <v>0</v>
      </c>
      <c r="J70" s="78">
        <v>0</v>
      </c>
      <c r="K70" s="78">
        <v>0</v>
      </c>
      <c r="L70" s="78">
        <v>0</v>
      </c>
      <c r="M70" s="78">
        <v>0</v>
      </c>
      <c r="N70" s="78">
        <v>0</v>
      </c>
      <c r="O70" s="78">
        <v>0</v>
      </c>
      <c r="P70" s="78">
        <v>0</v>
      </c>
      <c r="Q70" s="78">
        <v>0</v>
      </c>
      <c r="R70" s="78">
        <v>0</v>
      </c>
      <c r="S70" s="78">
        <v>0</v>
      </c>
      <c r="T70" s="78">
        <v>8785</v>
      </c>
      <c r="U70" s="112">
        <v>0</v>
      </c>
      <c r="V70" s="112">
        <v>0</v>
      </c>
      <c r="W70" s="78" t="s">
        <v>49</v>
      </c>
    </row>
    <row r="71" spans="1:23" s="115" customFormat="1" ht="14.45" customHeight="1" x14ac:dyDescent="0.2">
      <c r="A71" s="78" t="s">
        <v>48</v>
      </c>
      <c r="B71" s="78" t="s">
        <v>486</v>
      </c>
      <c r="C71" s="78">
        <v>2825</v>
      </c>
      <c r="D71" s="78">
        <v>125</v>
      </c>
      <c r="E71" s="78">
        <v>238</v>
      </c>
      <c r="F71" s="78">
        <v>172</v>
      </c>
      <c r="G71" s="78">
        <v>535</v>
      </c>
      <c r="H71" s="78">
        <v>774</v>
      </c>
      <c r="I71" s="78">
        <v>27</v>
      </c>
      <c r="J71" s="78">
        <v>0</v>
      </c>
      <c r="K71" s="78">
        <v>1336</v>
      </c>
      <c r="L71" s="78">
        <v>123</v>
      </c>
      <c r="M71" s="78">
        <v>277</v>
      </c>
      <c r="N71" s="78">
        <v>171</v>
      </c>
      <c r="O71" s="78">
        <v>571</v>
      </c>
      <c r="P71" s="78">
        <v>908</v>
      </c>
      <c r="Q71" s="78">
        <v>10</v>
      </c>
      <c r="R71" s="78">
        <v>0</v>
      </c>
      <c r="S71" s="78">
        <v>1489</v>
      </c>
      <c r="T71" s="78">
        <v>2825</v>
      </c>
      <c r="U71" s="112">
        <v>1</v>
      </c>
      <c r="V71" s="112">
        <v>1</v>
      </c>
      <c r="W71" s="78" t="s">
        <v>49</v>
      </c>
    </row>
    <row r="72" spans="1:23" s="115" customFormat="1" ht="14.45" customHeight="1" x14ac:dyDescent="0.2">
      <c r="A72" s="78" t="s">
        <v>368</v>
      </c>
      <c r="B72" s="78" t="s">
        <v>487</v>
      </c>
      <c r="C72" s="78">
        <v>36</v>
      </c>
      <c r="D72" s="78">
        <v>0</v>
      </c>
      <c r="E72" s="78">
        <v>0</v>
      </c>
      <c r="F72" s="78">
        <v>8</v>
      </c>
      <c r="G72" s="78">
        <v>8</v>
      </c>
      <c r="H72" s="78">
        <v>10</v>
      </c>
      <c r="I72" s="78">
        <v>0</v>
      </c>
      <c r="J72" s="78">
        <v>0</v>
      </c>
      <c r="K72" s="78">
        <v>18</v>
      </c>
      <c r="L72" s="78">
        <v>0</v>
      </c>
      <c r="M72" s="78">
        <v>0</v>
      </c>
      <c r="N72" s="78">
        <v>5</v>
      </c>
      <c r="O72" s="78">
        <v>5</v>
      </c>
      <c r="P72" s="78">
        <v>13</v>
      </c>
      <c r="Q72" s="78">
        <v>0</v>
      </c>
      <c r="R72" s="78">
        <v>0</v>
      </c>
      <c r="S72" s="78">
        <v>18</v>
      </c>
      <c r="T72" s="78">
        <v>76</v>
      </c>
      <c r="U72" s="112">
        <v>0.47368421052631599</v>
      </c>
      <c r="V72" s="112">
        <v>0.47368421052631599</v>
      </c>
      <c r="W72" s="78" t="s">
        <v>50</v>
      </c>
    </row>
    <row r="73" spans="1:23" s="115" customFormat="1" ht="14.45" customHeight="1" x14ac:dyDescent="0.2">
      <c r="A73" s="78" t="s">
        <v>368</v>
      </c>
      <c r="B73" s="78" t="s">
        <v>488</v>
      </c>
      <c r="C73" s="78">
        <v>16103</v>
      </c>
      <c r="D73" s="78">
        <v>0</v>
      </c>
      <c r="E73" s="78">
        <v>0</v>
      </c>
      <c r="F73" s="78">
        <v>0</v>
      </c>
      <c r="G73" s="78">
        <v>0</v>
      </c>
      <c r="H73" s="78">
        <v>0</v>
      </c>
      <c r="I73" s="78">
        <v>0</v>
      </c>
      <c r="J73" s="78">
        <v>7675</v>
      </c>
      <c r="K73" s="78">
        <v>7675</v>
      </c>
      <c r="L73" s="78">
        <v>0</v>
      </c>
      <c r="M73" s="78">
        <v>0</v>
      </c>
      <c r="N73" s="78">
        <v>0</v>
      </c>
      <c r="O73" s="78">
        <v>0</v>
      </c>
      <c r="P73" s="78">
        <v>0</v>
      </c>
      <c r="Q73" s="78">
        <v>0</v>
      </c>
      <c r="R73" s="78">
        <v>8428</v>
      </c>
      <c r="S73" s="78">
        <v>8428</v>
      </c>
      <c r="T73" s="78">
        <v>16103</v>
      </c>
      <c r="U73" s="112">
        <v>0</v>
      </c>
      <c r="V73" s="112">
        <v>1</v>
      </c>
      <c r="W73" s="78" t="s">
        <v>50</v>
      </c>
    </row>
    <row r="74" spans="1:23" s="115" customFormat="1" ht="14.45" customHeight="1" x14ac:dyDescent="0.2">
      <c r="A74" s="78" t="s">
        <v>368</v>
      </c>
      <c r="B74" s="78" t="s">
        <v>486</v>
      </c>
      <c r="C74" s="78">
        <v>0</v>
      </c>
      <c r="D74" s="78">
        <v>0</v>
      </c>
      <c r="E74" s="78">
        <v>0</v>
      </c>
      <c r="F74" s="78">
        <v>0</v>
      </c>
      <c r="G74" s="78">
        <v>0</v>
      </c>
      <c r="H74" s="78">
        <v>0</v>
      </c>
      <c r="I74" s="78">
        <v>0</v>
      </c>
      <c r="J74" s="78">
        <v>0</v>
      </c>
      <c r="K74" s="78">
        <v>0</v>
      </c>
      <c r="L74" s="78">
        <v>0</v>
      </c>
      <c r="M74" s="78">
        <v>0</v>
      </c>
      <c r="N74" s="78">
        <v>0</v>
      </c>
      <c r="O74" s="78">
        <v>0</v>
      </c>
      <c r="P74" s="78">
        <v>0</v>
      </c>
      <c r="Q74" s="78">
        <v>0</v>
      </c>
      <c r="R74" s="78">
        <v>0</v>
      </c>
      <c r="S74" s="78">
        <v>0</v>
      </c>
      <c r="T74" s="78">
        <v>1117</v>
      </c>
      <c r="U74" s="112">
        <v>0</v>
      </c>
      <c r="V74" s="112">
        <v>0</v>
      </c>
      <c r="W74" s="78" t="s">
        <v>50</v>
      </c>
    </row>
    <row r="75" spans="1:23" s="115" customFormat="1" ht="14.45" customHeight="1" x14ac:dyDescent="0.2">
      <c r="A75" s="78" t="s">
        <v>51</v>
      </c>
      <c r="B75" s="78" t="s">
        <v>487</v>
      </c>
      <c r="C75" s="78">
        <v>81</v>
      </c>
      <c r="D75" s="78">
        <v>0</v>
      </c>
      <c r="E75" s="78">
        <v>0</v>
      </c>
      <c r="F75" s="78">
        <v>7</v>
      </c>
      <c r="G75" s="78">
        <v>7</v>
      </c>
      <c r="H75" s="78">
        <v>32</v>
      </c>
      <c r="I75" s="78">
        <v>0</v>
      </c>
      <c r="J75" s="78">
        <v>0</v>
      </c>
      <c r="K75" s="78">
        <v>39</v>
      </c>
      <c r="L75" s="78">
        <v>0</v>
      </c>
      <c r="M75" s="78">
        <v>7</v>
      </c>
      <c r="N75" s="78">
        <v>0</v>
      </c>
      <c r="O75" s="78">
        <v>7</v>
      </c>
      <c r="P75" s="78">
        <v>35</v>
      </c>
      <c r="Q75" s="78">
        <v>0</v>
      </c>
      <c r="R75" s="78">
        <v>0</v>
      </c>
      <c r="S75" s="78">
        <v>42</v>
      </c>
      <c r="T75" s="78">
        <v>81</v>
      </c>
      <c r="U75" s="112">
        <v>1</v>
      </c>
      <c r="V75" s="112">
        <v>1</v>
      </c>
      <c r="W75" s="78" t="s">
        <v>52</v>
      </c>
    </row>
    <row r="76" spans="1:23" s="115" customFormat="1" ht="14.45" customHeight="1" x14ac:dyDescent="0.2">
      <c r="A76" s="78" t="s">
        <v>51</v>
      </c>
      <c r="B76" s="78" t="s">
        <v>489</v>
      </c>
      <c r="C76" s="78">
        <v>0</v>
      </c>
      <c r="D76" s="78">
        <v>0</v>
      </c>
      <c r="E76" s="78">
        <v>0</v>
      </c>
      <c r="F76" s="78">
        <v>0</v>
      </c>
      <c r="G76" s="78">
        <v>0</v>
      </c>
      <c r="H76" s="78">
        <v>0</v>
      </c>
      <c r="I76" s="78">
        <v>0</v>
      </c>
      <c r="J76" s="78">
        <v>0</v>
      </c>
      <c r="K76" s="78">
        <v>0</v>
      </c>
      <c r="L76" s="78">
        <v>0</v>
      </c>
      <c r="M76" s="78">
        <v>0</v>
      </c>
      <c r="N76" s="78">
        <v>0</v>
      </c>
      <c r="O76" s="78">
        <v>0</v>
      </c>
      <c r="P76" s="78">
        <v>0</v>
      </c>
      <c r="Q76" s="78">
        <v>0</v>
      </c>
      <c r="R76" s="78">
        <v>0</v>
      </c>
      <c r="S76" s="78">
        <v>0</v>
      </c>
      <c r="T76" s="78">
        <v>91223</v>
      </c>
      <c r="U76" s="112">
        <v>0</v>
      </c>
      <c r="V76" s="112">
        <v>0</v>
      </c>
      <c r="W76" s="78" t="s">
        <v>52</v>
      </c>
    </row>
    <row r="77" spans="1:23" s="115" customFormat="1" ht="14.45" customHeight="1" x14ac:dyDescent="0.2">
      <c r="A77" s="78" t="s">
        <v>51</v>
      </c>
      <c r="B77" s="78" t="s">
        <v>491</v>
      </c>
      <c r="C77" s="78">
        <v>12</v>
      </c>
      <c r="D77" s="78">
        <v>0</v>
      </c>
      <c r="E77" s="78">
        <v>0</v>
      </c>
      <c r="F77" s="78">
        <v>0</v>
      </c>
      <c r="G77" s="78">
        <v>0</v>
      </c>
      <c r="H77" s="78">
        <v>5</v>
      </c>
      <c r="I77" s="78">
        <v>0</v>
      </c>
      <c r="J77" s="78">
        <v>0</v>
      </c>
      <c r="K77" s="78">
        <v>5</v>
      </c>
      <c r="L77" s="78">
        <v>0</v>
      </c>
      <c r="M77" s="78">
        <v>0</v>
      </c>
      <c r="N77" s="78">
        <v>0</v>
      </c>
      <c r="O77" s="78">
        <v>0</v>
      </c>
      <c r="P77" s="78">
        <v>7</v>
      </c>
      <c r="Q77" s="78">
        <v>0</v>
      </c>
      <c r="R77" s="78">
        <v>0</v>
      </c>
      <c r="S77" s="78">
        <v>7</v>
      </c>
      <c r="T77" s="78">
        <v>2545</v>
      </c>
      <c r="U77" s="112">
        <v>4.7151277013752499E-3</v>
      </c>
      <c r="V77" s="112">
        <v>4.7151277013752499E-3</v>
      </c>
      <c r="W77" s="78" t="s">
        <v>52</v>
      </c>
    </row>
    <row r="78" spans="1:23" s="115" customFormat="1" ht="14.45" customHeight="1" x14ac:dyDescent="0.2">
      <c r="A78" s="78" t="s">
        <v>51</v>
      </c>
      <c r="B78" s="78" t="s">
        <v>486</v>
      </c>
      <c r="C78" s="78">
        <v>181</v>
      </c>
      <c r="D78" s="78">
        <v>5</v>
      </c>
      <c r="E78" s="78">
        <v>0</v>
      </c>
      <c r="F78" s="78">
        <v>19</v>
      </c>
      <c r="G78" s="78">
        <v>24</v>
      </c>
      <c r="H78" s="78">
        <v>50</v>
      </c>
      <c r="I78" s="78">
        <v>5</v>
      </c>
      <c r="J78" s="78">
        <v>0</v>
      </c>
      <c r="K78" s="78">
        <v>79</v>
      </c>
      <c r="L78" s="78">
        <v>0</v>
      </c>
      <c r="M78" s="78">
        <v>23</v>
      </c>
      <c r="N78" s="78">
        <v>10</v>
      </c>
      <c r="O78" s="78">
        <v>33</v>
      </c>
      <c r="P78" s="78">
        <v>64</v>
      </c>
      <c r="Q78" s="78">
        <v>5</v>
      </c>
      <c r="R78" s="78">
        <v>0</v>
      </c>
      <c r="S78" s="78">
        <v>102</v>
      </c>
      <c r="T78" s="78">
        <v>348</v>
      </c>
      <c r="U78" s="112">
        <v>0.52011494252873602</v>
      </c>
      <c r="V78" s="112">
        <v>0.52011494252873602</v>
      </c>
      <c r="W78" s="78" t="s">
        <v>52</v>
      </c>
    </row>
    <row r="79" spans="1:23" s="115" customFormat="1" ht="14.45" customHeight="1" x14ac:dyDescent="0.2">
      <c r="A79" s="78" t="s">
        <v>51</v>
      </c>
      <c r="B79" s="78" t="s">
        <v>490</v>
      </c>
      <c r="C79" s="78">
        <v>9</v>
      </c>
      <c r="D79" s="78">
        <v>0</v>
      </c>
      <c r="E79" s="78">
        <v>0</v>
      </c>
      <c r="F79" s="78">
        <v>0</v>
      </c>
      <c r="G79" s="78">
        <v>0</v>
      </c>
      <c r="H79" s="78">
        <v>9</v>
      </c>
      <c r="I79" s="78">
        <v>0</v>
      </c>
      <c r="J79" s="78">
        <v>0</v>
      </c>
      <c r="K79" s="78">
        <v>9</v>
      </c>
      <c r="L79" s="78">
        <v>0</v>
      </c>
      <c r="M79" s="78">
        <v>0</v>
      </c>
      <c r="N79" s="78">
        <v>0</v>
      </c>
      <c r="O79" s="78">
        <v>0</v>
      </c>
      <c r="P79" s="78">
        <v>0</v>
      </c>
      <c r="Q79" s="78">
        <v>0</v>
      </c>
      <c r="R79" s="78">
        <v>0</v>
      </c>
      <c r="S79" s="78">
        <v>0</v>
      </c>
      <c r="T79" s="78">
        <v>9</v>
      </c>
      <c r="U79" s="112">
        <v>1</v>
      </c>
      <c r="V79" s="112">
        <v>1</v>
      </c>
      <c r="W79" s="78" t="s">
        <v>52</v>
      </c>
    </row>
    <row r="80" spans="1:23" s="115" customFormat="1" ht="14.45" customHeight="1" x14ac:dyDescent="0.2">
      <c r="A80" s="78" t="s">
        <v>53</v>
      </c>
      <c r="B80" s="78" t="s">
        <v>487</v>
      </c>
      <c r="C80" s="78">
        <v>10</v>
      </c>
      <c r="D80" s="78">
        <v>0</v>
      </c>
      <c r="E80" s="78">
        <v>0</v>
      </c>
      <c r="F80" s="78">
        <v>0</v>
      </c>
      <c r="G80" s="78">
        <v>0</v>
      </c>
      <c r="H80" s="78">
        <v>5</v>
      </c>
      <c r="I80" s="78">
        <v>0</v>
      </c>
      <c r="J80" s="78">
        <v>0</v>
      </c>
      <c r="K80" s="78">
        <v>5</v>
      </c>
      <c r="L80" s="78">
        <v>0</v>
      </c>
      <c r="M80" s="78">
        <v>0</v>
      </c>
      <c r="N80" s="78">
        <v>0</v>
      </c>
      <c r="O80" s="78">
        <v>0</v>
      </c>
      <c r="P80" s="78">
        <v>5</v>
      </c>
      <c r="Q80" s="78">
        <v>0</v>
      </c>
      <c r="R80" s="78">
        <v>0</v>
      </c>
      <c r="S80" s="78">
        <v>5</v>
      </c>
      <c r="T80" s="78">
        <v>97</v>
      </c>
      <c r="U80" s="112">
        <v>0.10309278350515499</v>
      </c>
      <c r="V80" s="112">
        <v>0.10309278350515499</v>
      </c>
      <c r="W80" s="78" t="s">
        <v>54</v>
      </c>
    </row>
    <row r="81" spans="1:23" s="115" customFormat="1" ht="14.45" customHeight="1" x14ac:dyDescent="0.2">
      <c r="A81" s="78" t="s">
        <v>53</v>
      </c>
      <c r="B81" s="78" t="s">
        <v>491</v>
      </c>
      <c r="C81" s="78">
        <v>71</v>
      </c>
      <c r="D81" s="78">
        <v>0</v>
      </c>
      <c r="E81" s="78">
        <v>8</v>
      </c>
      <c r="F81" s="78">
        <v>7</v>
      </c>
      <c r="G81" s="78">
        <v>15</v>
      </c>
      <c r="H81" s="78">
        <v>34</v>
      </c>
      <c r="I81" s="78">
        <v>0</v>
      </c>
      <c r="J81" s="78">
        <v>0</v>
      </c>
      <c r="K81" s="78">
        <v>49</v>
      </c>
      <c r="L81" s="78">
        <v>0</v>
      </c>
      <c r="M81" s="78">
        <v>17</v>
      </c>
      <c r="N81" s="78">
        <v>0</v>
      </c>
      <c r="O81" s="78">
        <v>17</v>
      </c>
      <c r="P81" s="78">
        <v>5</v>
      </c>
      <c r="Q81" s="78">
        <v>0</v>
      </c>
      <c r="R81" s="78">
        <v>0</v>
      </c>
      <c r="S81" s="78">
        <v>22</v>
      </c>
      <c r="T81" s="78">
        <v>71</v>
      </c>
      <c r="U81" s="112">
        <v>1</v>
      </c>
      <c r="V81" s="112">
        <v>1</v>
      </c>
      <c r="W81" s="78" t="s">
        <v>54</v>
      </c>
    </row>
    <row r="82" spans="1:23" s="115" customFormat="1" ht="14.45" customHeight="1" x14ac:dyDescent="0.2">
      <c r="A82" s="78" t="s">
        <v>53</v>
      </c>
      <c r="B82" s="78" t="s">
        <v>486</v>
      </c>
      <c r="C82" s="78">
        <v>761</v>
      </c>
      <c r="D82" s="78">
        <v>51</v>
      </c>
      <c r="E82" s="78">
        <v>70</v>
      </c>
      <c r="F82" s="78">
        <v>57</v>
      </c>
      <c r="G82" s="78">
        <v>178</v>
      </c>
      <c r="H82" s="78">
        <v>147</v>
      </c>
      <c r="I82" s="78">
        <v>0</v>
      </c>
      <c r="J82" s="78">
        <v>0</v>
      </c>
      <c r="K82" s="78">
        <v>325</v>
      </c>
      <c r="L82" s="78">
        <v>37</v>
      </c>
      <c r="M82" s="78">
        <v>90</v>
      </c>
      <c r="N82" s="78">
        <v>45</v>
      </c>
      <c r="O82" s="78">
        <v>172</v>
      </c>
      <c r="P82" s="78">
        <v>248</v>
      </c>
      <c r="Q82" s="78">
        <v>16</v>
      </c>
      <c r="R82" s="78">
        <v>0</v>
      </c>
      <c r="S82" s="78">
        <v>436</v>
      </c>
      <c r="T82" s="78">
        <v>761</v>
      </c>
      <c r="U82" s="112">
        <v>1</v>
      </c>
      <c r="V82" s="112">
        <v>1</v>
      </c>
      <c r="W82" s="78" t="s">
        <v>54</v>
      </c>
    </row>
    <row r="83" spans="1:23" s="115" customFormat="1" ht="14.45" customHeight="1" x14ac:dyDescent="0.2">
      <c r="A83" s="78" t="s">
        <v>55</v>
      </c>
      <c r="B83" s="78" t="s">
        <v>487</v>
      </c>
      <c r="C83" s="78">
        <v>0</v>
      </c>
      <c r="D83" s="78">
        <v>0</v>
      </c>
      <c r="E83" s="78">
        <v>0</v>
      </c>
      <c r="F83" s="78">
        <v>0</v>
      </c>
      <c r="G83" s="78">
        <v>0</v>
      </c>
      <c r="H83" s="78">
        <v>0</v>
      </c>
      <c r="I83" s="78">
        <v>0</v>
      </c>
      <c r="J83" s="78">
        <v>0</v>
      </c>
      <c r="K83" s="78">
        <v>0</v>
      </c>
      <c r="L83" s="78">
        <v>0</v>
      </c>
      <c r="M83" s="78">
        <v>0</v>
      </c>
      <c r="N83" s="78">
        <v>0</v>
      </c>
      <c r="O83" s="78">
        <v>0</v>
      </c>
      <c r="P83" s="78">
        <v>0</v>
      </c>
      <c r="Q83" s="78">
        <v>0</v>
      </c>
      <c r="R83" s="78">
        <v>0</v>
      </c>
      <c r="S83" s="78">
        <v>0</v>
      </c>
      <c r="T83" s="78">
        <v>68101</v>
      </c>
      <c r="U83" s="112">
        <v>0</v>
      </c>
      <c r="V83" s="112">
        <v>0</v>
      </c>
      <c r="W83" s="78" t="s">
        <v>56</v>
      </c>
    </row>
    <row r="84" spans="1:23" s="115" customFormat="1" ht="14.45" customHeight="1" x14ac:dyDescent="0.2">
      <c r="A84" s="78" t="s">
        <v>55</v>
      </c>
      <c r="B84" s="78" t="s">
        <v>488</v>
      </c>
      <c r="C84" s="78">
        <v>0</v>
      </c>
      <c r="D84" s="78">
        <v>0</v>
      </c>
      <c r="E84" s="78">
        <v>0</v>
      </c>
      <c r="F84" s="78">
        <v>0</v>
      </c>
      <c r="G84" s="78">
        <v>0</v>
      </c>
      <c r="H84" s="78">
        <v>0</v>
      </c>
      <c r="I84" s="78">
        <v>0</v>
      </c>
      <c r="J84" s="78">
        <v>0</v>
      </c>
      <c r="K84" s="78">
        <v>0</v>
      </c>
      <c r="L84" s="78">
        <v>0</v>
      </c>
      <c r="M84" s="78">
        <v>0</v>
      </c>
      <c r="N84" s="78">
        <v>0</v>
      </c>
      <c r="O84" s="78">
        <v>0</v>
      </c>
      <c r="P84" s="78">
        <v>0</v>
      </c>
      <c r="Q84" s="78">
        <v>0</v>
      </c>
      <c r="R84" s="78">
        <v>0</v>
      </c>
      <c r="S84" s="78">
        <v>0</v>
      </c>
      <c r="T84" s="78">
        <v>363081</v>
      </c>
      <c r="U84" s="112">
        <v>0</v>
      </c>
      <c r="V84" s="112">
        <v>0</v>
      </c>
      <c r="W84" s="78" t="s">
        <v>56</v>
      </c>
    </row>
    <row r="85" spans="1:23" s="115" customFormat="1" ht="14.45" customHeight="1" x14ac:dyDescent="0.2">
      <c r="A85" s="78" t="s">
        <v>55</v>
      </c>
      <c r="B85" s="78" t="s">
        <v>486</v>
      </c>
      <c r="C85" s="78">
        <v>234654</v>
      </c>
      <c r="D85" s="78">
        <v>3060</v>
      </c>
      <c r="E85" s="78">
        <v>9073</v>
      </c>
      <c r="F85" s="78">
        <v>6757</v>
      </c>
      <c r="G85" s="78">
        <v>18890</v>
      </c>
      <c r="H85" s="78">
        <v>41111</v>
      </c>
      <c r="I85" s="78">
        <v>2130</v>
      </c>
      <c r="J85" s="78">
        <v>42571</v>
      </c>
      <c r="K85" s="78">
        <v>104702</v>
      </c>
      <c r="L85" s="78">
        <v>3016</v>
      </c>
      <c r="M85" s="78">
        <v>9328</v>
      </c>
      <c r="N85" s="78">
        <v>7210</v>
      </c>
      <c r="O85" s="78">
        <v>19554</v>
      </c>
      <c r="P85" s="78">
        <v>55370</v>
      </c>
      <c r="Q85" s="78">
        <v>1801</v>
      </c>
      <c r="R85" s="78">
        <v>53227</v>
      </c>
      <c r="S85" s="78">
        <v>129952</v>
      </c>
      <c r="T85" s="78">
        <v>235765</v>
      </c>
      <c r="U85" s="112">
        <v>0.588959345110597</v>
      </c>
      <c r="V85" s="112">
        <v>0.99528768052934102</v>
      </c>
      <c r="W85" s="78" t="s">
        <v>56</v>
      </c>
    </row>
    <row r="86" spans="1:23" s="115" customFormat="1" ht="14.45" customHeight="1" x14ac:dyDescent="0.2">
      <c r="A86" s="78" t="s">
        <v>55</v>
      </c>
      <c r="B86" s="78" t="s">
        <v>490</v>
      </c>
      <c r="C86" s="78">
        <v>0</v>
      </c>
      <c r="D86" s="78">
        <v>0</v>
      </c>
      <c r="E86" s="78">
        <v>0</v>
      </c>
      <c r="F86" s="78">
        <v>0</v>
      </c>
      <c r="G86" s="78">
        <v>0</v>
      </c>
      <c r="H86" s="78">
        <v>0</v>
      </c>
      <c r="I86" s="78">
        <v>0</v>
      </c>
      <c r="J86" s="78">
        <v>0</v>
      </c>
      <c r="K86" s="78">
        <v>0</v>
      </c>
      <c r="L86" s="78">
        <v>0</v>
      </c>
      <c r="M86" s="78">
        <v>0</v>
      </c>
      <c r="N86" s="78">
        <v>0</v>
      </c>
      <c r="O86" s="78">
        <v>0</v>
      </c>
      <c r="P86" s="78">
        <v>0</v>
      </c>
      <c r="Q86" s="78">
        <v>0</v>
      </c>
      <c r="R86" s="78">
        <v>0</v>
      </c>
      <c r="S86" s="78">
        <v>0</v>
      </c>
      <c r="T86" s="78">
        <v>5</v>
      </c>
      <c r="U86" s="112">
        <v>0</v>
      </c>
      <c r="V86" s="112">
        <v>0</v>
      </c>
      <c r="W86" s="78" t="s">
        <v>56</v>
      </c>
    </row>
    <row r="87" spans="1:23" s="115" customFormat="1" ht="14.45" customHeight="1" x14ac:dyDescent="0.2">
      <c r="A87" s="78" t="s">
        <v>57</v>
      </c>
      <c r="B87" s="78" t="s">
        <v>490</v>
      </c>
      <c r="C87" s="78">
        <v>0</v>
      </c>
      <c r="D87" s="78">
        <v>0</v>
      </c>
      <c r="E87" s="78">
        <v>0</v>
      </c>
      <c r="F87" s="78">
        <v>0</v>
      </c>
      <c r="G87" s="78">
        <v>0</v>
      </c>
      <c r="H87" s="78">
        <v>0</v>
      </c>
      <c r="I87" s="78">
        <v>0</v>
      </c>
      <c r="J87" s="78">
        <v>0</v>
      </c>
      <c r="K87" s="78">
        <v>0</v>
      </c>
      <c r="L87" s="78">
        <v>0</v>
      </c>
      <c r="M87" s="78">
        <v>0</v>
      </c>
      <c r="N87" s="78">
        <v>0</v>
      </c>
      <c r="O87" s="78">
        <v>0</v>
      </c>
      <c r="P87" s="78">
        <v>0</v>
      </c>
      <c r="Q87" s="78">
        <v>0</v>
      </c>
      <c r="R87" s="78">
        <v>0</v>
      </c>
      <c r="S87" s="78">
        <v>0</v>
      </c>
      <c r="T87" s="78">
        <v>20863</v>
      </c>
      <c r="U87" s="112">
        <v>0</v>
      </c>
      <c r="V87" s="112">
        <v>0</v>
      </c>
      <c r="W87" s="78" t="s">
        <v>58</v>
      </c>
    </row>
    <row r="88" spans="1:23" s="115" customFormat="1" ht="14.45" customHeight="1" x14ac:dyDescent="0.2">
      <c r="A88" s="78" t="s">
        <v>369</v>
      </c>
      <c r="B88" s="78" t="s">
        <v>487</v>
      </c>
      <c r="C88" s="78">
        <v>11779</v>
      </c>
      <c r="D88" s="78">
        <v>0</v>
      </c>
      <c r="E88" s="78">
        <v>0</v>
      </c>
      <c r="F88" s="78">
        <v>0</v>
      </c>
      <c r="G88" s="78">
        <v>0</v>
      </c>
      <c r="H88" s="78">
        <v>0</v>
      </c>
      <c r="I88" s="78">
        <v>0</v>
      </c>
      <c r="J88" s="78">
        <v>1010</v>
      </c>
      <c r="K88" s="78">
        <v>1010</v>
      </c>
      <c r="L88" s="78">
        <v>0</v>
      </c>
      <c r="M88" s="78">
        <v>0</v>
      </c>
      <c r="N88" s="78">
        <v>0</v>
      </c>
      <c r="O88" s="78">
        <v>0</v>
      </c>
      <c r="P88" s="78">
        <v>0</v>
      </c>
      <c r="Q88" s="78">
        <v>0</v>
      </c>
      <c r="R88" s="78">
        <v>10769</v>
      </c>
      <c r="S88" s="78">
        <v>10769</v>
      </c>
      <c r="T88" s="78">
        <v>11941</v>
      </c>
      <c r="U88" s="112">
        <v>0</v>
      </c>
      <c r="V88" s="112">
        <v>0.98643329704379901</v>
      </c>
      <c r="W88" s="78" t="s">
        <v>59</v>
      </c>
    </row>
    <row r="89" spans="1:23" s="115" customFormat="1" ht="14.45" customHeight="1" x14ac:dyDescent="0.2">
      <c r="A89" s="78" t="s">
        <v>369</v>
      </c>
      <c r="B89" s="78" t="s">
        <v>486</v>
      </c>
      <c r="C89" s="78">
        <v>97618</v>
      </c>
      <c r="D89" s="78">
        <v>577</v>
      </c>
      <c r="E89" s="78">
        <v>5122</v>
      </c>
      <c r="F89" s="78">
        <v>13217</v>
      </c>
      <c r="G89" s="78">
        <v>18916</v>
      </c>
      <c r="H89" s="78">
        <v>18526</v>
      </c>
      <c r="I89" s="78">
        <v>11570</v>
      </c>
      <c r="J89" s="78">
        <v>0</v>
      </c>
      <c r="K89" s="78">
        <v>49012</v>
      </c>
      <c r="L89" s="78">
        <v>579</v>
      </c>
      <c r="M89" s="78">
        <v>5121</v>
      </c>
      <c r="N89" s="78">
        <v>13226</v>
      </c>
      <c r="O89" s="78">
        <v>18926</v>
      </c>
      <c r="P89" s="78">
        <v>18416</v>
      </c>
      <c r="Q89" s="78">
        <v>11264</v>
      </c>
      <c r="R89" s="78">
        <v>0</v>
      </c>
      <c r="S89" s="78">
        <v>48606</v>
      </c>
      <c r="T89" s="78">
        <v>97618</v>
      </c>
      <c r="U89" s="112">
        <v>1</v>
      </c>
      <c r="V89" s="112">
        <v>1</v>
      </c>
      <c r="W89" s="78" t="s">
        <v>59</v>
      </c>
    </row>
    <row r="90" spans="1:23" s="115" customFormat="1" ht="14.45" customHeight="1" x14ac:dyDescent="0.2">
      <c r="A90" s="78" t="s">
        <v>369</v>
      </c>
      <c r="B90" s="78" t="s">
        <v>490</v>
      </c>
      <c r="C90" s="78">
        <v>0</v>
      </c>
      <c r="D90" s="78">
        <v>0</v>
      </c>
      <c r="E90" s="78">
        <v>0</v>
      </c>
      <c r="F90" s="78">
        <v>0</v>
      </c>
      <c r="G90" s="78">
        <v>0</v>
      </c>
      <c r="H90" s="78">
        <v>0</v>
      </c>
      <c r="I90" s="78">
        <v>0</v>
      </c>
      <c r="J90" s="78">
        <v>0</v>
      </c>
      <c r="K90" s="78">
        <v>0</v>
      </c>
      <c r="L90" s="78">
        <v>0</v>
      </c>
      <c r="M90" s="78">
        <v>0</v>
      </c>
      <c r="N90" s="78">
        <v>0</v>
      </c>
      <c r="O90" s="78">
        <v>0</v>
      </c>
      <c r="P90" s="78">
        <v>0</v>
      </c>
      <c r="Q90" s="78">
        <v>0</v>
      </c>
      <c r="R90" s="78">
        <v>0</v>
      </c>
      <c r="S90" s="78">
        <v>0</v>
      </c>
      <c r="T90" s="78">
        <v>42</v>
      </c>
      <c r="U90" s="112">
        <v>0</v>
      </c>
      <c r="V90" s="112">
        <v>0</v>
      </c>
      <c r="W90" s="78" t="s">
        <v>59</v>
      </c>
    </row>
    <row r="91" spans="1:23" s="115" customFormat="1" ht="14.45" customHeight="1" x14ac:dyDescent="0.2">
      <c r="A91" s="78" t="s">
        <v>60</v>
      </c>
      <c r="B91" s="78" t="s">
        <v>487</v>
      </c>
      <c r="C91" s="78">
        <v>1146</v>
      </c>
      <c r="D91" s="78">
        <v>99</v>
      </c>
      <c r="E91" s="78">
        <v>160</v>
      </c>
      <c r="F91" s="78">
        <v>66</v>
      </c>
      <c r="G91" s="78">
        <v>325</v>
      </c>
      <c r="H91" s="78">
        <v>257</v>
      </c>
      <c r="I91" s="78">
        <v>10</v>
      </c>
      <c r="J91" s="78">
        <v>0</v>
      </c>
      <c r="K91" s="78">
        <v>592</v>
      </c>
      <c r="L91" s="78">
        <v>124</v>
      </c>
      <c r="M91" s="78">
        <v>140</v>
      </c>
      <c r="N91" s="78">
        <v>62</v>
      </c>
      <c r="O91" s="78">
        <v>326</v>
      </c>
      <c r="P91" s="78">
        <v>219</v>
      </c>
      <c r="Q91" s="78">
        <v>9</v>
      </c>
      <c r="R91" s="78">
        <v>0</v>
      </c>
      <c r="S91" s="78">
        <v>554</v>
      </c>
      <c r="T91" s="78">
        <v>1146</v>
      </c>
      <c r="U91" s="112">
        <v>1</v>
      </c>
      <c r="V91" s="112">
        <v>1</v>
      </c>
      <c r="W91" s="78" t="s">
        <v>61</v>
      </c>
    </row>
    <row r="92" spans="1:23" s="115" customFormat="1" ht="14.45" customHeight="1" x14ac:dyDescent="0.2">
      <c r="A92" s="78" t="s">
        <v>60</v>
      </c>
      <c r="B92" s="78" t="s">
        <v>489</v>
      </c>
      <c r="C92" s="78">
        <v>2062534</v>
      </c>
      <c r="D92" s="78">
        <v>35320</v>
      </c>
      <c r="E92" s="78">
        <v>311226</v>
      </c>
      <c r="F92" s="78">
        <v>218935</v>
      </c>
      <c r="G92" s="78">
        <v>565481</v>
      </c>
      <c r="H92" s="78">
        <v>518262</v>
      </c>
      <c r="I92" s="78">
        <v>4307</v>
      </c>
      <c r="J92" s="78">
        <v>0</v>
      </c>
      <c r="K92" s="78">
        <v>1088050</v>
      </c>
      <c r="L92" s="78">
        <v>36873</v>
      </c>
      <c r="M92" s="78">
        <v>315654</v>
      </c>
      <c r="N92" s="78">
        <v>228140</v>
      </c>
      <c r="O92" s="78">
        <v>580667</v>
      </c>
      <c r="P92" s="78">
        <v>390598</v>
      </c>
      <c r="Q92" s="78">
        <v>3219</v>
      </c>
      <c r="R92" s="78">
        <v>0</v>
      </c>
      <c r="S92" s="78">
        <v>974484</v>
      </c>
      <c r="T92" s="78">
        <v>2062534</v>
      </c>
      <c r="U92" s="112">
        <v>1</v>
      </c>
      <c r="V92" s="112">
        <v>1</v>
      </c>
      <c r="W92" s="78" t="s">
        <v>61</v>
      </c>
    </row>
    <row r="93" spans="1:23" s="115" customFormat="1" ht="14.45" customHeight="1" x14ac:dyDescent="0.2">
      <c r="A93" s="78" t="s">
        <v>60</v>
      </c>
      <c r="B93" s="78" t="s">
        <v>486</v>
      </c>
      <c r="C93" s="78">
        <v>37735</v>
      </c>
      <c r="D93" s="78">
        <v>2925</v>
      </c>
      <c r="E93" s="78">
        <v>5713</v>
      </c>
      <c r="F93" s="78">
        <v>3069</v>
      </c>
      <c r="G93" s="78">
        <v>11707</v>
      </c>
      <c r="H93" s="78">
        <v>8575</v>
      </c>
      <c r="I93" s="78">
        <v>698</v>
      </c>
      <c r="J93" s="78">
        <v>0</v>
      </c>
      <c r="K93" s="78">
        <v>20980</v>
      </c>
      <c r="L93" s="78">
        <v>2952</v>
      </c>
      <c r="M93" s="78">
        <v>5296</v>
      </c>
      <c r="N93" s="78">
        <v>2926</v>
      </c>
      <c r="O93" s="78">
        <v>11174</v>
      </c>
      <c r="P93" s="78">
        <v>4979</v>
      </c>
      <c r="Q93" s="78">
        <v>602</v>
      </c>
      <c r="R93" s="78">
        <v>0</v>
      </c>
      <c r="S93" s="78">
        <v>16755</v>
      </c>
      <c r="T93" s="78">
        <v>37735</v>
      </c>
      <c r="U93" s="112">
        <v>1</v>
      </c>
      <c r="V93" s="112">
        <v>1</v>
      </c>
      <c r="W93" s="78" t="s">
        <v>61</v>
      </c>
    </row>
    <row r="94" spans="1:23" s="115" customFormat="1" ht="14.45" customHeight="1" x14ac:dyDescent="0.2">
      <c r="A94" s="78" t="s">
        <v>62</v>
      </c>
      <c r="B94" s="78" t="s">
        <v>487</v>
      </c>
      <c r="C94" s="78">
        <v>2270</v>
      </c>
      <c r="D94" s="78">
        <v>104</v>
      </c>
      <c r="E94" s="78">
        <v>258</v>
      </c>
      <c r="F94" s="78">
        <v>230</v>
      </c>
      <c r="G94" s="78">
        <v>592</v>
      </c>
      <c r="H94" s="78">
        <v>492</v>
      </c>
      <c r="I94" s="78">
        <v>39</v>
      </c>
      <c r="J94" s="78">
        <v>0</v>
      </c>
      <c r="K94" s="78">
        <v>1123</v>
      </c>
      <c r="L94" s="78">
        <v>92</v>
      </c>
      <c r="M94" s="78">
        <v>234</v>
      </c>
      <c r="N94" s="78">
        <v>236</v>
      </c>
      <c r="O94" s="78">
        <v>562</v>
      </c>
      <c r="P94" s="78">
        <v>560</v>
      </c>
      <c r="Q94" s="78">
        <v>25</v>
      </c>
      <c r="R94" s="78">
        <v>0</v>
      </c>
      <c r="S94" s="78">
        <v>1147</v>
      </c>
      <c r="T94" s="78">
        <v>2270</v>
      </c>
      <c r="U94" s="112">
        <v>1</v>
      </c>
      <c r="V94" s="112">
        <v>1</v>
      </c>
      <c r="W94" s="78" t="s">
        <v>63</v>
      </c>
    </row>
    <row r="95" spans="1:23" s="115" customFormat="1" ht="14.45" customHeight="1" x14ac:dyDescent="0.2">
      <c r="A95" s="78" t="s">
        <v>62</v>
      </c>
      <c r="B95" s="78" t="s">
        <v>489</v>
      </c>
      <c r="C95" s="78">
        <v>8177</v>
      </c>
      <c r="D95" s="78">
        <v>336</v>
      </c>
      <c r="E95" s="78">
        <v>796</v>
      </c>
      <c r="F95" s="78">
        <v>878</v>
      </c>
      <c r="G95" s="78">
        <v>2010</v>
      </c>
      <c r="H95" s="78">
        <v>2179</v>
      </c>
      <c r="I95" s="78">
        <v>66</v>
      </c>
      <c r="J95" s="78">
        <v>10</v>
      </c>
      <c r="K95" s="78">
        <v>4265</v>
      </c>
      <c r="L95" s="78">
        <v>286</v>
      </c>
      <c r="M95" s="78">
        <v>630</v>
      </c>
      <c r="N95" s="78">
        <v>831</v>
      </c>
      <c r="O95" s="78">
        <v>1747</v>
      </c>
      <c r="P95" s="78">
        <v>2145</v>
      </c>
      <c r="Q95" s="78">
        <v>7</v>
      </c>
      <c r="R95" s="78">
        <v>13</v>
      </c>
      <c r="S95" s="78">
        <v>3912</v>
      </c>
      <c r="T95" s="78">
        <v>8177</v>
      </c>
      <c r="U95" s="112">
        <v>0.99718723248134999</v>
      </c>
      <c r="V95" s="112">
        <v>1</v>
      </c>
      <c r="W95" s="78" t="s">
        <v>63</v>
      </c>
    </row>
    <row r="96" spans="1:23" s="115" customFormat="1" ht="14.45" customHeight="1" x14ac:dyDescent="0.2">
      <c r="A96" s="78" t="s">
        <v>62</v>
      </c>
      <c r="B96" s="78" t="s">
        <v>491</v>
      </c>
      <c r="C96" s="78">
        <v>1292</v>
      </c>
      <c r="D96" s="78">
        <v>59</v>
      </c>
      <c r="E96" s="78">
        <v>115</v>
      </c>
      <c r="F96" s="78">
        <v>108</v>
      </c>
      <c r="G96" s="78">
        <v>282</v>
      </c>
      <c r="H96" s="78">
        <v>638</v>
      </c>
      <c r="I96" s="78">
        <v>13</v>
      </c>
      <c r="J96" s="78">
        <v>0</v>
      </c>
      <c r="K96" s="78">
        <v>933</v>
      </c>
      <c r="L96" s="78">
        <v>70</v>
      </c>
      <c r="M96" s="78">
        <v>112</v>
      </c>
      <c r="N96" s="78">
        <v>71</v>
      </c>
      <c r="O96" s="78">
        <v>253</v>
      </c>
      <c r="P96" s="78">
        <v>106</v>
      </c>
      <c r="Q96" s="78">
        <v>0</v>
      </c>
      <c r="R96" s="78">
        <v>0</v>
      </c>
      <c r="S96" s="78">
        <v>359</v>
      </c>
      <c r="T96" s="78">
        <v>1292</v>
      </c>
      <c r="U96" s="112">
        <v>1</v>
      </c>
      <c r="V96" s="112">
        <v>1</v>
      </c>
      <c r="W96" s="78" t="s">
        <v>63</v>
      </c>
    </row>
    <row r="97" spans="1:23" s="115" customFormat="1" ht="14.45" customHeight="1" x14ac:dyDescent="0.2">
      <c r="A97" s="78" t="s">
        <v>62</v>
      </c>
      <c r="B97" s="78" t="s">
        <v>492</v>
      </c>
      <c r="C97" s="78">
        <v>26482</v>
      </c>
      <c r="D97" s="78">
        <v>3064</v>
      </c>
      <c r="E97" s="78">
        <v>3206</v>
      </c>
      <c r="F97" s="78">
        <v>1785</v>
      </c>
      <c r="G97" s="78">
        <v>8055</v>
      </c>
      <c r="H97" s="78">
        <v>5155</v>
      </c>
      <c r="I97" s="78">
        <v>267</v>
      </c>
      <c r="J97" s="78">
        <v>0</v>
      </c>
      <c r="K97" s="78">
        <v>13477</v>
      </c>
      <c r="L97" s="78">
        <v>3076</v>
      </c>
      <c r="M97" s="78">
        <v>3277</v>
      </c>
      <c r="N97" s="78">
        <v>1773</v>
      </c>
      <c r="O97" s="78">
        <v>8126</v>
      </c>
      <c r="P97" s="78">
        <v>4529</v>
      </c>
      <c r="Q97" s="78">
        <v>350</v>
      </c>
      <c r="R97" s="78">
        <v>0</v>
      </c>
      <c r="S97" s="78">
        <v>13005</v>
      </c>
      <c r="T97" s="78">
        <v>26663</v>
      </c>
      <c r="U97" s="112">
        <v>0.99321156659040599</v>
      </c>
      <c r="V97" s="112">
        <v>0.99321156659040599</v>
      </c>
      <c r="W97" s="78" t="s">
        <v>63</v>
      </c>
    </row>
    <row r="98" spans="1:23" s="115" customFormat="1" ht="14.45" customHeight="1" x14ac:dyDescent="0.2">
      <c r="A98" s="78" t="s">
        <v>62</v>
      </c>
      <c r="B98" s="78" t="s">
        <v>486</v>
      </c>
      <c r="C98" s="78">
        <v>85229</v>
      </c>
      <c r="D98" s="78">
        <v>6336</v>
      </c>
      <c r="E98" s="78">
        <v>9218</v>
      </c>
      <c r="F98" s="78">
        <v>7224</v>
      </c>
      <c r="G98" s="78">
        <v>22778</v>
      </c>
      <c r="H98" s="78">
        <v>19188</v>
      </c>
      <c r="I98" s="78">
        <v>1192</v>
      </c>
      <c r="J98" s="78">
        <v>0</v>
      </c>
      <c r="K98" s="78">
        <v>43158</v>
      </c>
      <c r="L98" s="78">
        <v>6667</v>
      </c>
      <c r="M98" s="78">
        <v>9408</v>
      </c>
      <c r="N98" s="78">
        <v>7363</v>
      </c>
      <c r="O98" s="78">
        <v>23438</v>
      </c>
      <c r="P98" s="78">
        <v>17603</v>
      </c>
      <c r="Q98" s="78">
        <v>1030</v>
      </c>
      <c r="R98" s="78">
        <v>0</v>
      </c>
      <c r="S98" s="78">
        <v>42071</v>
      </c>
      <c r="T98" s="78">
        <v>85229</v>
      </c>
      <c r="U98" s="112">
        <v>1</v>
      </c>
      <c r="V98" s="112">
        <v>1</v>
      </c>
      <c r="W98" s="78" t="s">
        <v>63</v>
      </c>
    </row>
    <row r="99" spans="1:23" s="115" customFormat="1" ht="14.45" customHeight="1" x14ac:dyDescent="0.2">
      <c r="A99" s="78" t="s">
        <v>62</v>
      </c>
      <c r="B99" s="78" t="s">
        <v>490</v>
      </c>
      <c r="C99" s="78">
        <v>791</v>
      </c>
      <c r="D99" s="78">
        <v>12</v>
      </c>
      <c r="E99" s="78">
        <v>46</v>
      </c>
      <c r="F99" s="78">
        <v>79</v>
      </c>
      <c r="G99" s="78">
        <v>137</v>
      </c>
      <c r="H99" s="78">
        <v>224</v>
      </c>
      <c r="I99" s="78">
        <v>0</v>
      </c>
      <c r="J99" s="78">
        <v>0</v>
      </c>
      <c r="K99" s="78">
        <v>361</v>
      </c>
      <c r="L99" s="78">
        <v>17</v>
      </c>
      <c r="M99" s="78">
        <v>55</v>
      </c>
      <c r="N99" s="78">
        <v>86</v>
      </c>
      <c r="O99" s="78">
        <v>158</v>
      </c>
      <c r="P99" s="78">
        <v>272</v>
      </c>
      <c r="Q99" s="78">
        <v>0</v>
      </c>
      <c r="R99" s="78">
        <v>0</v>
      </c>
      <c r="S99" s="78">
        <v>430</v>
      </c>
      <c r="T99" s="78">
        <v>791</v>
      </c>
      <c r="U99" s="112">
        <v>1</v>
      </c>
      <c r="V99" s="112">
        <v>1</v>
      </c>
      <c r="W99" s="78" t="s">
        <v>63</v>
      </c>
    </row>
    <row r="100" spans="1:23" s="115" customFormat="1" ht="14.45" customHeight="1" x14ac:dyDescent="0.2">
      <c r="A100" s="78" t="s">
        <v>64</v>
      </c>
      <c r="B100" s="78" t="s">
        <v>490</v>
      </c>
      <c r="C100" s="78">
        <v>0</v>
      </c>
      <c r="D100" s="78">
        <v>0</v>
      </c>
      <c r="E100" s="78">
        <v>0</v>
      </c>
      <c r="F100" s="78">
        <v>0</v>
      </c>
      <c r="G100" s="78">
        <v>0</v>
      </c>
      <c r="H100" s="78">
        <v>0</v>
      </c>
      <c r="I100" s="78">
        <v>0</v>
      </c>
      <c r="J100" s="78">
        <v>0</v>
      </c>
      <c r="K100" s="78">
        <v>0</v>
      </c>
      <c r="L100" s="78">
        <v>0</v>
      </c>
      <c r="M100" s="78">
        <v>0</v>
      </c>
      <c r="N100" s="78">
        <v>0</v>
      </c>
      <c r="O100" s="78">
        <v>0</v>
      </c>
      <c r="P100" s="78">
        <v>0</v>
      </c>
      <c r="Q100" s="78">
        <v>0</v>
      </c>
      <c r="R100" s="78">
        <v>0</v>
      </c>
      <c r="S100" s="78">
        <v>0</v>
      </c>
      <c r="T100" s="78">
        <v>115</v>
      </c>
      <c r="U100" s="112">
        <v>0</v>
      </c>
      <c r="V100" s="112">
        <v>0</v>
      </c>
      <c r="W100" s="78" t="s">
        <v>65</v>
      </c>
    </row>
    <row r="101" spans="1:23" s="115" customFormat="1" ht="14.45" customHeight="1" x14ac:dyDescent="0.2">
      <c r="A101" s="78" t="s">
        <v>66</v>
      </c>
      <c r="B101" s="78" t="s">
        <v>487</v>
      </c>
      <c r="C101" s="78">
        <v>0</v>
      </c>
      <c r="D101" s="78">
        <v>0</v>
      </c>
      <c r="E101" s="78">
        <v>0</v>
      </c>
      <c r="F101" s="78">
        <v>0</v>
      </c>
      <c r="G101" s="78">
        <v>0</v>
      </c>
      <c r="H101" s="78">
        <v>0</v>
      </c>
      <c r="I101" s="78">
        <v>0</v>
      </c>
      <c r="J101" s="78">
        <v>0</v>
      </c>
      <c r="K101" s="78">
        <v>0</v>
      </c>
      <c r="L101" s="78">
        <v>0</v>
      </c>
      <c r="M101" s="78">
        <v>0</v>
      </c>
      <c r="N101" s="78">
        <v>0</v>
      </c>
      <c r="O101" s="78">
        <v>0</v>
      </c>
      <c r="P101" s="78">
        <v>0</v>
      </c>
      <c r="Q101" s="78">
        <v>0</v>
      </c>
      <c r="R101" s="78">
        <v>0</v>
      </c>
      <c r="S101" s="78">
        <v>0</v>
      </c>
      <c r="T101" s="78">
        <v>5</v>
      </c>
      <c r="U101" s="112">
        <v>0</v>
      </c>
      <c r="V101" s="112">
        <v>0</v>
      </c>
      <c r="W101" s="78" t="s">
        <v>67</v>
      </c>
    </row>
    <row r="102" spans="1:23" s="115" customFormat="1" ht="14.45" customHeight="1" x14ac:dyDescent="0.2">
      <c r="A102" s="78" t="s">
        <v>66</v>
      </c>
      <c r="B102" s="78" t="s">
        <v>486</v>
      </c>
      <c r="C102" s="78">
        <v>24</v>
      </c>
      <c r="D102" s="78">
        <v>0</v>
      </c>
      <c r="E102" s="78">
        <v>0</v>
      </c>
      <c r="F102" s="78">
        <v>0</v>
      </c>
      <c r="G102" s="78">
        <v>0</v>
      </c>
      <c r="H102" s="78">
        <v>6</v>
      </c>
      <c r="I102" s="78">
        <v>0</v>
      </c>
      <c r="J102" s="78">
        <v>0</v>
      </c>
      <c r="K102" s="78">
        <v>6</v>
      </c>
      <c r="L102" s="78">
        <v>0</v>
      </c>
      <c r="M102" s="78">
        <v>0</v>
      </c>
      <c r="N102" s="78">
        <v>0</v>
      </c>
      <c r="O102" s="78">
        <v>0</v>
      </c>
      <c r="P102" s="78">
        <v>13</v>
      </c>
      <c r="Q102" s="78">
        <v>5</v>
      </c>
      <c r="R102" s="78">
        <v>0</v>
      </c>
      <c r="S102" s="78">
        <v>18</v>
      </c>
      <c r="T102" s="78">
        <v>24</v>
      </c>
      <c r="U102" s="112">
        <v>1</v>
      </c>
      <c r="V102" s="112">
        <v>1</v>
      </c>
      <c r="W102" s="78" t="s">
        <v>67</v>
      </c>
    </row>
    <row r="103" spans="1:23" s="115" customFormat="1" ht="14.45" customHeight="1" x14ac:dyDescent="0.2">
      <c r="A103" s="78" t="s">
        <v>66</v>
      </c>
      <c r="B103" s="78" t="s">
        <v>490</v>
      </c>
      <c r="C103" s="78">
        <v>0</v>
      </c>
      <c r="D103" s="78">
        <v>0</v>
      </c>
      <c r="E103" s="78">
        <v>0</v>
      </c>
      <c r="F103" s="78">
        <v>0</v>
      </c>
      <c r="G103" s="78">
        <v>0</v>
      </c>
      <c r="H103" s="78">
        <v>0</v>
      </c>
      <c r="I103" s="78">
        <v>0</v>
      </c>
      <c r="J103" s="78">
        <v>0</v>
      </c>
      <c r="K103" s="78">
        <v>0</v>
      </c>
      <c r="L103" s="78">
        <v>0</v>
      </c>
      <c r="M103" s="78">
        <v>0</v>
      </c>
      <c r="N103" s="78">
        <v>0</v>
      </c>
      <c r="O103" s="78">
        <v>0</v>
      </c>
      <c r="P103" s="78">
        <v>0</v>
      </c>
      <c r="Q103" s="78">
        <v>0</v>
      </c>
      <c r="R103" s="78">
        <v>0</v>
      </c>
      <c r="S103" s="78">
        <v>0</v>
      </c>
      <c r="T103" s="78">
        <v>75000</v>
      </c>
      <c r="U103" s="112">
        <v>0</v>
      </c>
      <c r="V103" s="112">
        <v>0</v>
      </c>
      <c r="W103" s="78" t="s">
        <v>67</v>
      </c>
    </row>
    <row r="104" spans="1:23" s="115" customFormat="1" ht="14.45" customHeight="1" x14ac:dyDescent="0.2">
      <c r="A104" s="78" t="s">
        <v>68</v>
      </c>
      <c r="B104" s="78" t="s">
        <v>487</v>
      </c>
      <c r="C104" s="78">
        <v>10288</v>
      </c>
      <c r="D104" s="78">
        <v>425</v>
      </c>
      <c r="E104" s="78">
        <v>640</v>
      </c>
      <c r="F104" s="78">
        <v>378</v>
      </c>
      <c r="G104" s="78">
        <v>1443</v>
      </c>
      <c r="H104" s="78">
        <v>1793</v>
      </c>
      <c r="I104" s="78">
        <v>23</v>
      </c>
      <c r="J104" s="78">
        <v>0</v>
      </c>
      <c r="K104" s="78">
        <v>3259</v>
      </c>
      <c r="L104" s="78">
        <v>419</v>
      </c>
      <c r="M104" s="78">
        <v>631</v>
      </c>
      <c r="N104" s="78">
        <v>382</v>
      </c>
      <c r="O104" s="78">
        <v>1432</v>
      </c>
      <c r="P104" s="78">
        <v>5506</v>
      </c>
      <c r="Q104" s="78">
        <v>91</v>
      </c>
      <c r="R104" s="78">
        <v>0</v>
      </c>
      <c r="S104" s="78">
        <v>7029</v>
      </c>
      <c r="T104" s="78">
        <v>10288</v>
      </c>
      <c r="U104" s="112">
        <v>1</v>
      </c>
      <c r="V104" s="112">
        <v>1</v>
      </c>
      <c r="W104" s="78" t="s">
        <v>69</v>
      </c>
    </row>
    <row r="105" spans="1:23" s="115" customFormat="1" ht="14.45" customHeight="1" x14ac:dyDescent="0.2">
      <c r="A105" s="78" t="s">
        <v>68</v>
      </c>
      <c r="B105" s="78" t="s">
        <v>493</v>
      </c>
      <c r="C105" s="78">
        <v>0</v>
      </c>
      <c r="D105" s="78">
        <v>0</v>
      </c>
      <c r="E105" s="78">
        <v>0</v>
      </c>
      <c r="F105" s="78">
        <v>0</v>
      </c>
      <c r="G105" s="78">
        <v>0</v>
      </c>
      <c r="H105" s="78">
        <v>0</v>
      </c>
      <c r="I105" s="78">
        <v>0</v>
      </c>
      <c r="J105" s="78">
        <v>0</v>
      </c>
      <c r="K105" s="78">
        <v>0</v>
      </c>
      <c r="L105" s="78">
        <v>0</v>
      </c>
      <c r="M105" s="78">
        <v>0</v>
      </c>
      <c r="N105" s="78">
        <v>0</v>
      </c>
      <c r="O105" s="78">
        <v>0</v>
      </c>
      <c r="P105" s="78">
        <v>0</v>
      </c>
      <c r="Q105" s="78">
        <v>0</v>
      </c>
      <c r="R105" s="78">
        <v>0</v>
      </c>
      <c r="S105" s="78">
        <v>0</v>
      </c>
      <c r="T105" s="78">
        <v>15050</v>
      </c>
      <c r="U105" s="112">
        <v>0</v>
      </c>
      <c r="V105" s="112">
        <v>0</v>
      </c>
      <c r="W105" s="78" t="s">
        <v>69</v>
      </c>
    </row>
    <row r="106" spans="1:23" s="115" customFormat="1" ht="14.45" customHeight="1" x14ac:dyDescent="0.2">
      <c r="A106" s="78" t="s">
        <v>68</v>
      </c>
      <c r="B106" s="78" t="s">
        <v>489</v>
      </c>
      <c r="C106" s="78">
        <v>0</v>
      </c>
      <c r="D106" s="78">
        <v>0</v>
      </c>
      <c r="E106" s="78">
        <v>0</v>
      </c>
      <c r="F106" s="78">
        <v>0</v>
      </c>
      <c r="G106" s="78">
        <v>0</v>
      </c>
      <c r="H106" s="78">
        <v>0</v>
      </c>
      <c r="I106" s="78">
        <v>0</v>
      </c>
      <c r="J106" s="78">
        <v>0</v>
      </c>
      <c r="K106" s="78">
        <v>0</v>
      </c>
      <c r="L106" s="78">
        <v>0</v>
      </c>
      <c r="M106" s="78">
        <v>0</v>
      </c>
      <c r="N106" s="78">
        <v>0</v>
      </c>
      <c r="O106" s="78">
        <v>0</v>
      </c>
      <c r="P106" s="78">
        <v>0</v>
      </c>
      <c r="Q106" s="78">
        <v>0</v>
      </c>
      <c r="R106" s="78">
        <v>0</v>
      </c>
      <c r="S106" s="78">
        <v>0</v>
      </c>
      <c r="T106" s="78">
        <v>1075252</v>
      </c>
      <c r="U106" s="112">
        <v>0</v>
      </c>
      <c r="V106" s="112">
        <v>0</v>
      </c>
      <c r="W106" s="78" t="s">
        <v>69</v>
      </c>
    </row>
    <row r="107" spans="1:23" s="115" customFormat="1" ht="14.45" customHeight="1" x14ac:dyDescent="0.2">
      <c r="A107" s="78" t="s">
        <v>68</v>
      </c>
      <c r="B107" s="78" t="s">
        <v>491</v>
      </c>
      <c r="C107" s="78">
        <v>909</v>
      </c>
      <c r="D107" s="78">
        <v>265</v>
      </c>
      <c r="E107" s="78">
        <v>154</v>
      </c>
      <c r="F107" s="78">
        <v>0</v>
      </c>
      <c r="G107" s="78">
        <v>419</v>
      </c>
      <c r="H107" s="78">
        <v>14</v>
      </c>
      <c r="I107" s="78">
        <v>9</v>
      </c>
      <c r="J107" s="78">
        <v>0</v>
      </c>
      <c r="K107" s="78">
        <v>442</v>
      </c>
      <c r="L107" s="78">
        <v>285</v>
      </c>
      <c r="M107" s="78">
        <v>182</v>
      </c>
      <c r="N107" s="78">
        <v>0</v>
      </c>
      <c r="O107" s="78">
        <v>467</v>
      </c>
      <c r="P107" s="78">
        <v>0</v>
      </c>
      <c r="Q107" s="78">
        <v>0</v>
      </c>
      <c r="R107" s="78">
        <v>0</v>
      </c>
      <c r="S107" s="78">
        <v>467</v>
      </c>
      <c r="T107" s="78">
        <v>13827</v>
      </c>
      <c r="U107" s="112">
        <v>6.5740941635929695E-2</v>
      </c>
      <c r="V107" s="112">
        <v>6.5740941635929695E-2</v>
      </c>
      <c r="W107" s="78" t="s">
        <v>69</v>
      </c>
    </row>
    <row r="108" spans="1:23" s="115" customFormat="1" ht="14.45" customHeight="1" x14ac:dyDescent="0.2">
      <c r="A108" s="78" t="s">
        <v>68</v>
      </c>
      <c r="B108" s="78" t="s">
        <v>492</v>
      </c>
      <c r="C108" s="78">
        <v>0</v>
      </c>
      <c r="D108" s="78">
        <v>0</v>
      </c>
      <c r="E108" s="78">
        <v>0</v>
      </c>
      <c r="F108" s="78">
        <v>0</v>
      </c>
      <c r="G108" s="78">
        <v>0</v>
      </c>
      <c r="H108" s="78">
        <v>0</v>
      </c>
      <c r="I108" s="78">
        <v>0</v>
      </c>
      <c r="J108" s="78">
        <v>0</v>
      </c>
      <c r="K108" s="78">
        <v>0</v>
      </c>
      <c r="L108" s="78">
        <v>0</v>
      </c>
      <c r="M108" s="78">
        <v>0</v>
      </c>
      <c r="N108" s="78">
        <v>0</v>
      </c>
      <c r="O108" s="78">
        <v>0</v>
      </c>
      <c r="P108" s="78">
        <v>0</v>
      </c>
      <c r="Q108" s="78">
        <v>0</v>
      </c>
      <c r="R108" s="78">
        <v>0</v>
      </c>
      <c r="S108" s="78">
        <v>0</v>
      </c>
      <c r="T108" s="78">
        <v>2058</v>
      </c>
      <c r="U108" s="112">
        <v>0</v>
      </c>
      <c r="V108" s="112">
        <v>0</v>
      </c>
      <c r="W108" s="78" t="s">
        <v>69</v>
      </c>
    </row>
    <row r="109" spans="1:23" s="115" customFormat="1" ht="14.45" customHeight="1" x14ac:dyDescent="0.2">
      <c r="A109" s="78" t="s">
        <v>68</v>
      </c>
      <c r="B109" s="78" t="s">
        <v>486</v>
      </c>
      <c r="C109" s="78">
        <v>472785</v>
      </c>
      <c r="D109" s="78">
        <v>32129</v>
      </c>
      <c r="E109" s="78">
        <v>58772</v>
      </c>
      <c r="F109" s="78">
        <v>38932</v>
      </c>
      <c r="G109" s="78">
        <v>129833</v>
      </c>
      <c r="H109" s="78">
        <v>111208</v>
      </c>
      <c r="I109" s="78">
        <v>8677</v>
      </c>
      <c r="J109" s="78">
        <v>0</v>
      </c>
      <c r="K109" s="78">
        <v>249718</v>
      </c>
      <c r="L109" s="78">
        <v>32484</v>
      </c>
      <c r="M109" s="78">
        <v>59177</v>
      </c>
      <c r="N109" s="78">
        <v>37791</v>
      </c>
      <c r="O109" s="78">
        <v>129452</v>
      </c>
      <c r="P109" s="78">
        <v>84539</v>
      </c>
      <c r="Q109" s="78">
        <v>9076</v>
      </c>
      <c r="R109" s="78">
        <v>0</v>
      </c>
      <c r="S109" s="78">
        <v>223067</v>
      </c>
      <c r="T109" s="78">
        <v>485285</v>
      </c>
      <c r="U109" s="112">
        <v>0.97424194030312095</v>
      </c>
      <c r="V109" s="112">
        <v>0.97424194030312095</v>
      </c>
      <c r="W109" s="78" t="s">
        <v>69</v>
      </c>
    </row>
    <row r="110" spans="1:23" s="115" customFormat="1" ht="14.45" customHeight="1" x14ac:dyDescent="0.2">
      <c r="A110" s="78" t="s">
        <v>370</v>
      </c>
      <c r="B110" s="78" t="s">
        <v>487</v>
      </c>
      <c r="C110" s="78">
        <v>0</v>
      </c>
      <c r="D110" s="78">
        <v>0</v>
      </c>
      <c r="E110" s="78">
        <v>0</v>
      </c>
      <c r="F110" s="78">
        <v>0</v>
      </c>
      <c r="G110" s="78">
        <v>0</v>
      </c>
      <c r="H110" s="78">
        <v>0</v>
      </c>
      <c r="I110" s="78">
        <v>0</v>
      </c>
      <c r="J110" s="78">
        <v>0</v>
      </c>
      <c r="K110" s="78">
        <v>0</v>
      </c>
      <c r="L110" s="78">
        <v>0</v>
      </c>
      <c r="M110" s="78">
        <v>0</v>
      </c>
      <c r="N110" s="78">
        <v>0</v>
      </c>
      <c r="O110" s="78">
        <v>0</v>
      </c>
      <c r="P110" s="78">
        <v>0</v>
      </c>
      <c r="Q110" s="78">
        <v>0</v>
      </c>
      <c r="R110" s="78">
        <v>0</v>
      </c>
      <c r="S110" s="78">
        <v>0</v>
      </c>
      <c r="T110" s="78">
        <v>197961</v>
      </c>
      <c r="U110" s="112">
        <v>0</v>
      </c>
      <c r="V110" s="112">
        <v>0</v>
      </c>
      <c r="W110" s="78" t="s">
        <v>70</v>
      </c>
    </row>
    <row r="111" spans="1:23" s="115" customFormat="1" ht="14.45" customHeight="1" x14ac:dyDescent="0.2">
      <c r="A111" s="78" t="s">
        <v>370</v>
      </c>
      <c r="B111" s="78" t="s">
        <v>486</v>
      </c>
      <c r="C111" s="78">
        <v>0</v>
      </c>
      <c r="D111" s="78">
        <v>0</v>
      </c>
      <c r="E111" s="78">
        <v>0</v>
      </c>
      <c r="F111" s="78">
        <v>0</v>
      </c>
      <c r="G111" s="78">
        <v>0</v>
      </c>
      <c r="H111" s="78">
        <v>0</v>
      </c>
      <c r="I111" s="78">
        <v>0</v>
      </c>
      <c r="J111" s="78">
        <v>0</v>
      </c>
      <c r="K111" s="78">
        <v>0</v>
      </c>
      <c r="L111" s="78">
        <v>0</v>
      </c>
      <c r="M111" s="78">
        <v>0</v>
      </c>
      <c r="N111" s="78">
        <v>0</v>
      </c>
      <c r="O111" s="78">
        <v>0</v>
      </c>
      <c r="P111" s="78">
        <v>0</v>
      </c>
      <c r="Q111" s="78">
        <v>0</v>
      </c>
      <c r="R111" s="78">
        <v>0</v>
      </c>
      <c r="S111" s="78">
        <v>0</v>
      </c>
      <c r="T111" s="78">
        <v>169448</v>
      </c>
      <c r="U111" s="112">
        <v>0</v>
      </c>
      <c r="V111" s="112">
        <v>0</v>
      </c>
      <c r="W111" s="78" t="s">
        <v>70</v>
      </c>
    </row>
    <row r="112" spans="1:23" s="115" customFormat="1" ht="14.45" customHeight="1" x14ac:dyDescent="0.2">
      <c r="A112" s="78" t="s">
        <v>370</v>
      </c>
      <c r="B112" s="78" t="s">
        <v>490</v>
      </c>
      <c r="C112" s="78">
        <v>0</v>
      </c>
      <c r="D112" s="78">
        <v>0</v>
      </c>
      <c r="E112" s="78">
        <v>0</v>
      </c>
      <c r="F112" s="78">
        <v>0</v>
      </c>
      <c r="G112" s="78">
        <v>0</v>
      </c>
      <c r="H112" s="78">
        <v>0</v>
      </c>
      <c r="I112" s="78">
        <v>0</v>
      </c>
      <c r="J112" s="78">
        <v>0</v>
      </c>
      <c r="K112" s="78">
        <v>0</v>
      </c>
      <c r="L112" s="78">
        <v>0</v>
      </c>
      <c r="M112" s="78">
        <v>0</v>
      </c>
      <c r="N112" s="78">
        <v>0</v>
      </c>
      <c r="O112" s="78">
        <v>0</v>
      </c>
      <c r="P112" s="78">
        <v>0</v>
      </c>
      <c r="Q112" s="78">
        <v>0</v>
      </c>
      <c r="R112" s="78">
        <v>0</v>
      </c>
      <c r="S112" s="78">
        <v>0</v>
      </c>
      <c r="T112" s="78">
        <v>4435</v>
      </c>
      <c r="U112" s="112">
        <v>0</v>
      </c>
      <c r="V112" s="112">
        <v>0</v>
      </c>
      <c r="W112" s="78" t="s">
        <v>70</v>
      </c>
    </row>
    <row r="113" spans="1:23" s="115" customFormat="1" ht="14.45" customHeight="1" x14ac:dyDescent="0.2">
      <c r="A113" s="78" t="s">
        <v>71</v>
      </c>
      <c r="B113" s="78" t="s">
        <v>487</v>
      </c>
      <c r="C113" s="78">
        <v>0</v>
      </c>
      <c r="D113" s="78">
        <v>0</v>
      </c>
      <c r="E113" s="78">
        <v>0</v>
      </c>
      <c r="F113" s="78">
        <v>0</v>
      </c>
      <c r="G113" s="78">
        <v>0</v>
      </c>
      <c r="H113" s="78">
        <v>0</v>
      </c>
      <c r="I113" s="78">
        <v>0</v>
      </c>
      <c r="J113" s="78">
        <v>0</v>
      </c>
      <c r="K113" s="78">
        <v>0</v>
      </c>
      <c r="L113" s="78">
        <v>0</v>
      </c>
      <c r="M113" s="78">
        <v>0</v>
      </c>
      <c r="N113" s="78">
        <v>0</v>
      </c>
      <c r="O113" s="78">
        <v>0</v>
      </c>
      <c r="P113" s="78">
        <v>0</v>
      </c>
      <c r="Q113" s="78">
        <v>0</v>
      </c>
      <c r="R113" s="78">
        <v>0</v>
      </c>
      <c r="S113" s="78">
        <v>0</v>
      </c>
      <c r="T113" s="78">
        <v>93</v>
      </c>
      <c r="U113" s="112">
        <v>0</v>
      </c>
      <c r="V113" s="112">
        <v>0</v>
      </c>
      <c r="W113" s="78" t="s">
        <v>72</v>
      </c>
    </row>
    <row r="114" spans="1:23" s="115" customFormat="1" ht="14.45" customHeight="1" x14ac:dyDescent="0.2">
      <c r="A114" s="78" t="s">
        <v>71</v>
      </c>
      <c r="B114" s="78" t="s">
        <v>491</v>
      </c>
      <c r="C114" s="78">
        <v>0</v>
      </c>
      <c r="D114" s="78">
        <v>0</v>
      </c>
      <c r="E114" s="78">
        <v>0</v>
      </c>
      <c r="F114" s="78">
        <v>0</v>
      </c>
      <c r="G114" s="78">
        <v>0</v>
      </c>
      <c r="H114" s="78">
        <v>0</v>
      </c>
      <c r="I114" s="78">
        <v>0</v>
      </c>
      <c r="J114" s="78">
        <v>0</v>
      </c>
      <c r="K114" s="78">
        <v>0</v>
      </c>
      <c r="L114" s="78">
        <v>0</v>
      </c>
      <c r="M114" s="78">
        <v>0</v>
      </c>
      <c r="N114" s="78">
        <v>0</v>
      </c>
      <c r="O114" s="78">
        <v>0</v>
      </c>
      <c r="P114" s="78">
        <v>0</v>
      </c>
      <c r="Q114" s="78">
        <v>0</v>
      </c>
      <c r="R114" s="78">
        <v>0</v>
      </c>
      <c r="S114" s="78">
        <v>0</v>
      </c>
      <c r="T114" s="78">
        <v>222</v>
      </c>
      <c r="U114" s="112">
        <v>0</v>
      </c>
      <c r="V114" s="112">
        <v>0</v>
      </c>
      <c r="W114" s="78" t="s">
        <v>72</v>
      </c>
    </row>
    <row r="115" spans="1:23" s="115" customFormat="1" ht="14.45" customHeight="1" x14ac:dyDescent="0.2">
      <c r="A115" s="78" t="s">
        <v>71</v>
      </c>
      <c r="B115" s="78" t="s">
        <v>486</v>
      </c>
      <c r="C115" s="78">
        <v>49</v>
      </c>
      <c r="D115" s="78">
        <v>0</v>
      </c>
      <c r="E115" s="78">
        <v>0</v>
      </c>
      <c r="F115" s="78">
        <v>0</v>
      </c>
      <c r="G115" s="78">
        <v>0</v>
      </c>
      <c r="H115" s="78">
        <v>11</v>
      </c>
      <c r="I115" s="78">
        <v>0</v>
      </c>
      <c r="J115" s="78">
        <v>0</v>
      </c>
      <c r="K115" s="78">
        <v>11</v>
      </c>
      <c r="L115" s="78">
        <v>0</v>
      </c>
      <c r="M115" s="78">
        <v>0</v>
      </c>
      <c r="N115" s="78">
        <v>0</v>
      </c>
      <c r="O115" s="78">
        <v>0</v>
      </c>
      <c r="P115" s="78">
        <v>38</v>
      </c>
      <c r="Q115" s="78">
        <v>0</v>
      </c>
      <c r="R115" s="78">
        <v>0</v>
      </c>
      <c r="S115" s="78">
        <v>38</v>
      </c>
      <c r="T115" s="78">
        <v>49</v>
      </c>
      <c r="U115" s="112">
        <v>1</v>
      </c>
      <c r="V115" s="112">
        <v>1</v>
      </c>
      <c r="W115" s="78" t="s">
        <v>72</v>
      </c>
    </row>
    <row r="116" spans="1:23" s="115" customFormat="1" ht="14.45" customHeight="1" x14ac:dyDescent="0.2">
      <c r="A116" s="78" t="s">
        <v>73</v>
      </c>
      <c r="B116" s="78" t="s">
        <v>487</v>
      </c>
      <c r="C116" s="78">
        <v>32506</v>
      </c>
      <c r="D116" s="78">
        <v>3588</v>
      </c>
      <c r="E116" s="78">
        <v>3364</v>
      </c>
      <c r="F116" s="78">
        <v>2242</v>
      </c>
      <c r="G116" s="78">
        <v>9194</v>
      </c>
      <c r="H116" s="78">
        <v>7042</v>
      </c>
      <c r="I116" s="78">
        <v>1005</v>
      </c>
      <c r="J116" s="78">
        <v>0</v>
      </c>
      <c r="K116" s="78">
        <v>17241</v>
      </c>
      <c r="L116" s="78">
        <v>3470</v>
      </c>
      <c r="M116" s="78">
        <v>3310</v>
      </c>
      <c r="N116" s="78">
        <v>1904</v>
      </c>
      <c r="O116" s="78">
        <v>8684</v>
      </c>
      <c r="P116" s="78">
        <v>5717</v>
      </c>
      <c r="Q116" s="78">
        <v>864</v>
      </c>
      <c r="R116" s="78">
        <v>0</v>
      </c>
      <c r="S116" s="78">
        <v>15265</v>
      </c>
      <c r="T116" s="78">
        <v>32506</v>
      </c>
      <c r="U116" s="112">
        <v>1</v>
      </c>
      <c r="V116" s="112">
        <v>1</v>
      </c>
      <c r="W116" s="78" t="s">
        <v>74</v>
      </c>
    </row>
    <row r="117" spans="1:23" s="115" customFormat="1" ht="14.45" customHeight="1" x14ac:dyDescent="0.2">
      <c r="A117" s="78" t="s">
        <v>73</v>
      </c>
      <c r="B117" s="78" t="s">
        <v>493</v>
      </c>
      <c r="C117" s="78">
        <v>0</v>
      </c>
      <c r="D117" s="78">
        <v>0</v>
      </c>
      <c r="E117" s="78">
        <v>0</v>
      </c>
      <c r="F117" s="78">
        <v>0</v>
      </c>
      <c r="G117" s="78">
        <v>0</v>
      </c>
      <c r="H117" s="78">
        <v>0</v>
      </c>
      <c r="I117" s="78">
        <v>0</v>
      </c>
      <c r="J117" s="78">
        <v>0</v>
      </c>
      <c r="K117" s="78">
        <v>0</v>
      </c>
      <c r="L117" s="78">
        <v>0</v>
      </c>
      <c r="M117" s="78">
        <v>0</v>
      </c>
      <c r="N117" s="78">
        <v>0</v>
      </c>
      <c r="O117" s="78">
        <v>0</v>
      </c>
      <c r="P117" s="78">
        <v>0</v>
      </c>
      <c r="Q117" s="78">
        <v>0</v>
      </c>
      <c r="R117" s="78">
        <v>0</v>
      </c>
      <c r="S117" s="78">
        <v>0</v>
      </c>
      <c r="T117" s="78">
        <v>325938</v>
      </c>
      <c r="U117" s="112">
        <v>0</v>
      </c>
      <c r="V117" s="112">
        <v>0</v>
      </c>
      <c r="W117" s="78" t="s">
        <v>74</v>
      </c>
    </row>
    <row r="118" spans="1:23" s="115" customFormat="1" ht="14.45" customHeight="1" x14ac:dyDescent="0.2">
      <c r="A118" s="78" t="s">
        <v>73</v>
      </c>
      <c r="B118" s="78" t="s">
        <v>489</v>
      </c>
      <c r="C118" s="78">
        <v>0</v>
      </c>
      <c r="D118" s="78">
        <v>0</v>
      </c>
      <c r="E118" s="78">
        <v>0</v>
      </c>
      <c r="F118" s="78">
        <v>0</v>
      </c>
      <c r="G118" s="78">
        <v>0</v>
      </c>
      <c r="H118" s="78">
        <v>0</v>
      </c>
      <c r="I118" s="78">
        <v>0</v>
      </c>
      <c r="J118" s="78">
        <v>0</v>
      </c>
      <c r="K118" s="78">
        <v>0</v>
      </c>
      <c r="L118" s="78">
        <v>0</v>
      </c>
      <c r="M118" s="78">
        <v>0</v>
      </c>
      <c r="N118" s="78">
        <v>0</v>
      </c>
      <c r="O118" s="78">
        <v>0</v>
      </c>
      <c r="P118" s="78">
        <v>0</v>
      </c>
      <c r="Q118" s="78">
        <v>0</v>
      </c>
      <c r="R118" s="78">
        <v>0</v>
      </c>
      <c r="S118" s="78">
        <v>0</v>
      </c>
      <c r="T118" s="78">
        <v>511803</v>
      </c>
      <c r="U118" s="112">
        <v>0</v>
      </c>
      <c r="V118" s="112">
        <v>0</v>
      </c>
      <c r="W118" s="78" t="s">
        <v>74</v>
      </c>
    </row>
    <row r="119" spans="1:23" s="115" customFormat="1" ht="14.45" customHeight="1" x14ac:dyDescent="0.2">
      <c r="A119" s="78" t="s">
        <v>73</v>
      </c>
      <c r="B119" s="78" t="s">
        <v>492</v>
      </c>
      <c r="C119" s="78">
        <v>14324</v>
      </c>
      <c r="D119" s="78">
        <v>1414</v>
      </c>
      <c r="E119" s="78">
        <v>1289</v>
      </c>
      <c r="F119" s="78">
        <v>1726</v>
      </c>
      <c r="G119" s="78">
        <v>4429</v>
      </c>
      <c r="H119" s="78">
        <v>3132</v>
      </c>
      <c r="I119" s="78">
        <v>263</v>
      </c>
      <c r="J119" s="78">
        <v>0</v>
      </c>
      <c r="K119" s="78">
        <v>7824</v>
      </c>
      <c r="L119" s="78">
        <v>1434</v>
      </c>
      <c r="M119" s="78">
        <v>1386</v>
      </c>
      <c r="N119" s="78">
        <v>1136</v>
      </c>
      <c r="O119" s="78">
        <v>3956</v>
      </c>
      <c r="P119" s="78">
        <v>2373</v>
      </c>
      <c r="Q119" s="78">
        <v>171</v>
      </c>
      <c r="R119" s="78">
        <v>0</v>
      </c>
      <c r="S119" s="78">
        <v>6500</v>
      </c>
      <c r="T119" s="78">
        <v>14449</v>
      </c>
      <c r="U119" s="112">
        <v>0.99134888227559004</v>
      </c>
      <c r="V119" s="112">
        <v>0.99134888227559004</v>
      </c>
      <c r="W119" s="78" t="s">
        <v>74</v>
      </c>
    </row>
    <row r="120" spans="1:23" s="115" customFormat="1" ht="14.45" customHeight="1" x14ac:dyDescent="0.2">
      <c r="A120" s="78" t="s">
        <v>73</v>
      </c>
      <c r="B120" s="78" t="s">
        <v>486</v>
      </c>
      <c r="C120" s="78">
        <v>32913</v>
      </c>
      <c r="D120" s="78">
        <v>3172</v>
      </c>
      <c r="E120" s="78">
        <v>4648</v>
      </c>
      <c r="F120" s="78">
        <v>2618</v>
      </c>
      <c r="G120" s="78">
        <v>10438</v>
      </c>
      <c r="H120" s="78">
        <v>7348</v>
      </c>
      <c r="I120" s="78">
        <v>589</v>
      </c>
      <c r="J120" s="78">
        <v>0</v>
      </c>
      <c r="K120" s="78">
        <v>18375</v>
      </c>
      <c r="L120" s="78">
        <v>2933</v>
      </c>
      <c r="M120" s="78">
        <v>4270</v>
      </c>
      <c r="N120" s="78">
        <v>2352</v>
      </c>
      <c r="O120" s="78">
        <v>9555</v>
      </c>
      <c r="P120" s="78">
        <v>4551</v>
      </c>
      <c r="Q120" s="78">
        <v>432</v>
      </c>
      <c r="R120" s="78">
        <v>0</v>
      </c>
      <c r="S120" s="78">
        <v>14538</v>
      </c>
      <c r="T120" s="78">
        <v>32913</v>
      </c>
      <c r="U120" s="112">
        <v>1</v>
      </c>
      <c r="V120" s="112">
        <v>1</v>
      </c>
      <c r="W120" s="78" t="s">
        <v>74</v>
      </c>
    </row>
    <row r="121" spans="1:23" s="115" customFormat="1" ht="14.45" customHeight="1" x14ac:dyDescent="0.2">
      <c r="A121" s="78" t="s">
        <v>75</v>
      </c>
      <c r="B121" s="78" t="s">
        <v>487</v>
      </c>
      <c r="C121" s="78">
        <v>4916</v>
      </c>
      <c r="D121" s="78">
        <v>154</v>
      </c>
      <c r="E121" s="78">
        <v>538</v>
      </c>
      <c r="F121" s="78">
        <v>379</v>
      </c>
      <c r="G121" s="78">
        <v>1071</v>
      </c>
      <c r="H121" s="78">
        <v>1216</v>
      </c>
      <c r="I121" s="78">
        <v>87</v>
      </c>
      <c r="J121" s="78">
        <v>0</v>
      </c>
      <c r="K121" s="78">
        <v>2374</v>
      </c>
      <c r="L121" s="78">
        <v>168</v>
      </c>
      <c r="M121" s="78">
        <v>493</v>
      </c>
      <c r="N121" s="78">
        <v>385</v>
      </c>
      <c r="O121" s="78">
        <v>1046</v>
      </c>
      <c r="P121" s="78">
        <v>1378</v>
      </c>
      <c r="Q121" s="78">
        <v>118</v>
      </c>
      <c r="R121" s="78">
        <v>0</v>
      </c>
      <c r="S121" s="78">
        <v>2542</v>
      </c>
      <c r="T121" s="78">
        <v>4916</v>
      </c>
      <c r="U121" s="112">
        <v>1</v>
      </c>
      <c r="V121" s="112">
        <v>1</v>
      </c>
      <c r="W121" s="78" t="s">
        <v>76</v>
      </c>
    </row>
    <row r="122" spans="1:23" s="115" customFormat="1" ht="14.45" customHeight="1" x14ac:dyDescent="0.2">
      <c r="A122" s="78" t="s">
        <v>75</v>
      </c>
      <c r="B122" s="78" t="s">
        <v>489</v>
      </c>
      <c r="C122" s="78">
        <v>0</v>
      </c>
      <c r="D122" s="78">
        <v>0</v>
      </c>
      <c r="E122" s="78">
        <v>0</v>
      </c>
      <c r="F122" s="78">
        <v>0</v>
      </c>
      <c r="G122" s="78">
        <v>0</v>
      </c>
      <c r="H122" s="78">
        <v>0</v>
      </c>
      <c r="I122" s="78">
        <v>0</v>
      </c>
      <c r="J122" s="78">
        <v>0</v>
      </c>
      <c r="K122" s="78">
        <v>0</v>
      </c>
      <c r="L122" s="78">
        <v>0</v>
      </c>
      <c r="M122" s="78">
        <v>0</v>
      </c>
      <c r="N122" s="78">
        <v>0</v>
      </c>
      <c r="O122" s="78">
        <v>0</v>
      </c>
      <c r="P122" s="78">
        <v>0</v>
      </c>
      <c r="Q122" s="78">
        <v>0</v>
      </c>
      <c r="R122" s="78">
        <v>0</v>
      </c>
      <c r="S122" s="78">
        <v>0</v>
      </c>
      <c r="T122" s="78">
        <v>215928</v>
      </c>
      <c r="U122" s="112">
        <v>0</v>
      </c>
      <c r="V122" s="112">
        <v>0</v>
      </c>
      <c r="W122" s="78" t="s">
        <v>76</v>
      </c>
    </row>
    <row r="123" spans="1:23" s="115" customFormat="1" ht="14.45" customHeight="1" x14ac:dyDescent="0.2">
      <c r="A123" s="78" t="s">
        <v>75</v>
      </c>
      <c r="B123" s="78" t="s">
        <v>491</v>
      </c>
      <c r="C123" s="78">
        <v>0</v>
      </c>
      <c r="D123" s="78">
        <v>0</v>
      </c>
      <c r="E123" s="78">
        <v>0</v>
      </c>
      <c r="F123" s="78">
        <v>0</v>
      </c>
      <c r="G123" s="78">
        <v>0</v>
      </c>
      <c r="H123" s="78">
        <v>0</v>
      </c>
      <c r="I123" s="78">
        <v>0</v>
      </c>
      <c r="J123" s="78">
        <v>0</v>
      </c>
      <c r="K123" s="78">
        <v>0</v>
      </c>
      <c r="L123" s="78">
        <v>0</v>
      </c>
      <c r="M123" s="78">
        <v>0</v>
      </c>
      <c r="N123" s="78">
        <v>0</v>
      </c>
      <c r="O123" s="78">
        <v>0</v>
      </c>
      <c r="P123" s="78">
        <v>0</v>
      </c>
      <c r="Q123" s="78">
        <v>0</v>
      </c>
      <c r="R123" s="78">
        <v>0</v>
      </c>
      <c r="S123" s="78">
        <v>0</v>
      </c>
      <c r="T123" s="78">
        <v>100543</v>
      </c>
      <c r="U123" s="112">
        <v>0</v>
      </c>
      <c r="V123" s="112">
        <v>0</v>
      </c>
      <c r="W123" s="78" t="s">
        <v>76</v>
      </c>
    </row>
    <row r="124" spans="1:23" s="115" customFormat="1" ht="14.45" customHeight="1" x14ac:dyDescent="0.2">
      <c r="A124" s="78" t="s">
        <v>75</v>
      </c>
      <c r="B124" s="78" t="s">
        <v>486</v>
      </c>
      <c r="C124" s="78">
        <v>723140</v>
      </c>
      <c r="D124" s="78">
        <v>47873</v>
      </c>
      <c r="E124" s="78">
        <v>86954</v>
      </c>
      <c r="F124" s="78">
        <v>58946</v>
      </c>
      <c r="G124" s="78">
        <v>193773</v>
      </c>
      <c r="H124" s="78">
        <v>186784</v>
      </c>
      <c r="I124" s="78">
        <v>19148</v>
      </c>
      <c r="J124" s="78">
        <v>0</v>
      </c>
      <c r="K124" s="78">
        <v>399705</v>
      </c>
      <c r="L124" s="78">
        <v>48372</v>
      </c>
      <c r="M124" s="78">
        <v>87346</v>
      </c>
      <c r="N124" s="78">
        <v>57133</v>
      </c>
      <c r="O124" s="78">
        <v>192851</v>
      </c>
      <c r="P124" s="78">
        <v>118466</v>
      </c>
      <c r="Q124" s="78">
        <v>12118</v>
      </c>
      <c r="R124" s="78">
        <v>0</v>
      </c>
      <c r="S124" s="78">
        <v>323435</v>
      </c>
      <c r="T124" s="78">
        <v>1100921</v>
      </c>
      <c r="U124" s="112">
        <v>0.65685003737779502</v>
      </c>
      <c r="V124" s="112">
        <v>0.65685003737779502</v>
      </c>
      <c r="W124" s="78" t="s">
        <v>76</v>
      </c>
    </row>
    <row r="125" spans="1:23" s="115" customFormat="1" ht="14.45" customHeight="1" x14ac:dyDescent="0.2">
      <c r="A125" s="78" t="s">
        <v>371</v>
      </c>
      <c r="B125" s="78" t="s">
        <v>487</v>
      </c>
      <c r="C125" s="78">
        <v>12694</v>
      </c>
      <c r="D125" s="78">
        <v>115</v>
      </c>
      <c r="E125" s="78">
        <v>531</v>
      </c>
      <c r="F125" s="78">
        <v>458</v>
      </c>
      <c r="G125" s="78">
        <v>1104</v>
      </c>
      <c r="H125" s="78">
        <v>5081</v>
      </c>
      <c r="I125" s="78">
        <v>313</v>
      </c>
      <c r="J125" s="78">
        <v>0</v>
      </c>
      <c r="K125" s="78">
        <v>6498</v>
      </c>
      <c r="L125" s="78">
        <v>105</v>
      </c>
      <c r="M125" s="78">
        <v>568</v>
      </c>
      <c r="N125" s="78">
        <v>458</v>
      </c>
      <c r="O125" s="78">
        <v>1131</v>
      </c>
      <c r="P125" s="78">
        <v>4897</v>
      </c>
      <c r="Q125" s="78">
        <v>168</v>
      </c>
      <c r="R125" s="78">
        <v>0</v>
      </c>
      <c r="S125" s="78">
        <v>6196</v>
      </c>
      <c r="T125" s="78">
        <v>12694</v>
      </c>
      <c r="U125" s="112">
        <v>1</v>
      </c>
      <c r="V125" s="112">
        <v>1</v>
      </c>
      <c r="W125" s="78" t="s">
        <v>77</v>
      </c>
    </row>
    <row r="126" spans="1:23" s="115" customFormat="1" ht="14.45" customHeight="1" x14ac:dyDescent="0.2">
      <c r="A126" s="78" t="s">
        <v>371</v>
      </c>
      <c r="B126" s="78" t="s">
        <v>488</v>
      </c>
      <c r="C126" s="78">
        <v>435728</v>
      </c>
      <c r="D126" s="78">
        <v>0</v>
      </c>
      <c r="E126" s="78">
        <v>0</v>
      </c>
      <c r="F126" s="78">
        <v>0</v>
      </c>
      <c r="G126" s="78">
        <v>0</v>
      </c>
      <c r="H126" s="78">
        <v>0</v>
      </c>
      <c r="I126" s="78">
        <v>0</v>
      </c>
      <c r="J126" s="78">
        <v>219957</v>
      </c>
      <c r="K126" s="78">
        <v>219957</v>
      </c>
      <c r="L126" s="78">
        <v>0</v>
      </c>
      <c r="M126" s="78">
        <v>0</v>
      </c>
      <c r="N126" s="78">
        <v>0</v>
      </c>
      <c r="O126" s="78">
        <v>0</v>
      </c>
      <c r="P126" s="78">
        <v>0</v>
      </c>
      <c r="Q126" s="78">
        <v>0</v>
      </c>
      <c r="R126" s="78">
        <v>215771</v>
      </c>
      <c r="S126" s="78">
        <v>215771</v>
      </c>
      <c r="T126" s="78">
        <v>435728</v>
      </c>
      <c r="U126" s="112">
        <v>0</v>
      </c>
      <c r="V126" s="112">
        <v>1</v>
      </c>
      <c r="W126" s="78" t="s">
        <v>77</v>
      </c>
    </row>
    <row r="127" spans="1:23" s="115" customFormat="1" ht="14.45" customHeight="1" x14ac:dyDescent="0.2">
      <c r="A127" s="78" t="s">
        <v>371</v>
      </c>
      <c r="B127" s="78" t="s">
        <v>491</v>
      </c>
      <c r="C127" s="78">
        <v>0</v>
      </c>
      <c r="D127" s="78">
        <v>0</v>
      </c>
      <c r="E127" s="78">
        <v>0</v>
      </c>
      <c r="F127" s="78">
        <v>0</v>
      </c>
      <c r="G127" s="78">
        <v>0</v>
      </c>
      <c r="H127" s="78">
        <v>0</v>
      </c>
      <c r="I127" s="78">
        <v>0</v>
      </c>
      <c r="J127" s="78">
        <v>0</v>
      </c>
      <c r="K127" s="78">
        <v>0</v>
      </c>
      <c r="L127" s="78">
        <v>0</v>
      </c>
      <c r="M127" s="78">
        <v>0</v>
      </c>
      <c r="N127" s="78">
        <v>0</v>
      </c>
      <c r="O127" s="78">
        <v>0</v>
      </c>
      <c r="P127" s="78">
        <v>0</v>
      </c>
      <c r="Q127" s="78">
        <v>0</v>
      </c>
      <c r="R127" s="78">
        <v>0</v>
      </c>
      <c r="S127" s="78">
        <v>0</v>
      </c>
      <c r="T127" s="78">
        <v>1708</v>
      </c>
      <c r="U127" s="112">
        <v>0</v>
      </c>
      <c r="V127" s="112">
        <v>0</v>
      </c>
      <c r="W127" s="78" t="s">
        <v>77</v>
      </c>
    </row>
    <row r="128" spans="1:23" s="115" customFormat="1" ht="14.45" customHeight="1" x14ac:dyDescent="0.2">
      <c r="A128" s="78" t="s">
        <v>371</v>
      </c>
      <c r="B128" s="78" t="s">
        <v>486</v>
      </c>
      <c r="C128" s="78">
        <v>2338</v>
      </c>
      <c r="D128" s="78">
        <v>16</v>
      </c>
      <c r="E128" s="78">
        <v>41</v>
      </c>
      <c r="F128" s="78">
        <v>94</v>
      </c>
      <c r="G128" s="78">
        <v>151</v>
      </c>
      <c r="H128" s="78">
        <v>1101</v>
      </c>
      <c r="I128" s="78">
        <v>55</v>
      </c>
      <c r="J128" s="78">
        <v>0</v>
      </c>
      <c r="K128" s="78">
        <v>1307</v>
      </c>
      <c r="L128" s="78">
        <v>12</v>
      </c>
      <c r="M128" s="78">
        <v>44</v>
      </c>
      <c r="N128" s="78">
        <v>90</v>
      </c>
      <c r="O128" s="78">
        <v>146</v>
      </c>
      <c r="P128" s="78">
        <v>861</v>
      </c>
      <c r="Q128" s="78">
        <v>24</v>
      </c>
      <c r="R128" s="78">
        <v>0</v>
      </c>
      <c r="S128" s="78">
        <v>1031</v>
      </c>
      <c r="T128" s="78">
        <v>2338</v>
      </c>
      <c r="U128" s="112">
        <v>1</v>
      </c>
      <c r="V128" s="112">
        <v>1</v>
      </c>
      <c r="W128" s="78" t="s">
        <v>77</v>
      </c>
    </row>
    <row r="129" spans="1:23" s="115" customFormat="1" ht="14.45" customHeight="1" x14ac:dyDescent="0.2">
      <c r="A129" s="78" t="s">
        <v>371</v>
      </c>
      <c r="B129" s="78" t="s">
        <v>490</v>
      </c>
      <c r="C129" s="78">
        <v>0</v>
      </c>
      <c r="D129" s="78">
        <v>0</v>
      </c>
      <c r="E129" s="78">
        <v>0</v>
      </c>
      <c r="F129" s="78">
        <v>0</v>
      </c>
      <c r="G129" s="78">
        <v>0</v>
      </c>
      <c r="H129" s="78">
        <v>0</v>
      </c>
      <c r="I129" s="78">
        <v>0</v>
      </c>
      <c r="J129" s="78">
        <v>0</v>
      </c>
      <c r="K129" s="78">
        <v>0</v>
      </c>
      <c r="L129" s="78">
        <v>0</v>
      </c>
      <c r="M129" s="78">
        <v>0</v>
      </c>
      <c r="N129" s="78">
        <v>0</v>
      </c>
      <c r="O129" s="78">
        <v>0</v>
      </c>
      <c r="P129" s="78">
        <v>0</v>
      </c>
      <c r="Q129" s="78">
        <v>0</v>
      </c>
      <c r="R129" s="78">
        <v>0</v>
      </c>
      <c r="S129" s="78">
        <v>0</v>
      </c>
      <c r="T129" s="78">
        <v>1708</v>
      </c>
      <c r="U129" s="112">
        <v>0</v>
      </c>
      <c r="V129" s="112">
        <v>0</v>
      </c>
      <c r="W129" s="78" t="s">
        <v>77</v>
      </c>
    </row>
    <row r="130" spans="1:23" s="115" customFormat="1" ht="14.45" customHeight="1" x14ac:dyDescent="0.2">
      <c r="A130" s="78" t="s">
        <v>372</v>
      </c>
      <c r="B130" s="78" t="s">
        <v>487</v>
      </c>
      <c r="C130" s="78">
        <v>699</v>
      </c>
      <c r="D130" s="78">
        <v>16</v>
      </c>
      <c r="E130" s="78">
        <v>28</v>
      </c>
      <c r="F130" s="78">
        <v>0</v>
      </c>
      <c r="G130" s="78">
        <v>44</v>
      </c>
      <c r="H130" s="78">
        <v>233</v>
      </c>
      <c r="I130" s="78">
        <v>0</v>
      </c>
      <c r="J130" s="78">
        <v>0</v>
      </c>
      <c r="K130" s="78">
        <v>277</v>
      </c>
      <c r="L130" s="78">
        <v>16</v>
      </c>
      <c r="M130" s="78">
        <v>0</v>
      </c>
      <c r="N130" s="78">
        <v>6</v>
      </c>
      <c r="O130" s="78">
        <v>22</v>
      </c>
      <c r="P130" s="78">
        <v>400</v>
      </c>
      <c r="Q130" s="78">
        <v>0</v>
      </c>
      <c r="R130" s="78">
        <v>0</v>
      </c>
      <c r="S130" s="78">
        <v>422</v>
      </c>
      <c r="T130" s="78">
        <v>699</v>
      </c>
      <c r="U130" s="112">
        <v>1</v>
      </c>
      <c r="V130" s="112">
        <v>1</v>
      </c>
      <c r="W130" s="78" t="s">
        <v>80</v>
      </c>
    </row>
    <row r="131" spans="1:23" s="115" customFormat="1" ht="14.45" customHeight="1" x14ac:dyDescent="0.2">
      <c r="A131" s="78" t="s">
        <v>372</v>
      </c>
      <c r="B131" s="78" t="s">
        <v>486</v>
      </c>
      <c r="C131" s="78">
        <v>296</v>
      </c>
      <c r="D131" s="78">
        <v>19</v>
      </c>
      <c r="E131" s="78">
        <v>47</v>
      </c>
      <c r="F131" s="78">
        <v>8</v>
      </c>
      <c r="G131" s="78">
        <v>74</v>
      </c>
      <c r="H131" s="78">
        <v>65</v>
      </c>
      <c r="I131" s="78">
        <v>0</v>
      </c>
      <c r="J131" s="78">
        <v>0</v>
      </c>
      <c r="K131" s="78">
        <v>139</v>
      </c>
      <c r="L131" s="78">
        <v>9</v>
      </c>
      <c r="M131" s="78">
        <v>25</v>
      </c>
      <c r="N131" s="78">
        <v>31</v>
      </c>
      <c r="O131" s="78">
        <v>65</v>
      </c>
      <c r="P131" s="78">
        <v>92</v>
      </c>
      <c r="Q131" s="78">
        <v>0</v>
      </c>
      <c r="R131" s="78">
        <v>0</v>
      </c>
      <c r="S131" s="78">
        <v>157</v>
      </c>
      <c r="T131" s="78">
        <v>296</v>
      </c>
      <c r="U131" s="112">
        <v>1</v>
      </c>
      <c r="V131" s="112">
        <v>1</v>
      </c>
      <c r="W131" s="78" t="s">
        <v>80</v>
      </c>
    </row>
    <row r="132" spans="1:23" s="115" customFormat="1" ht="14.45" customHeight="1" x14ac:dyDescent="0.2">
      <c r="A132" s="78" t="s">
        <v>78</v>
      </c>
      <c r="B132" s="78" t="s">
        <v>486</v>
      </c>
      <c r="C132" s="78">
        <v>301</v>
      </c>
      <c r="D132" s="78">
        <v>8</v>
      </c>
      <c r="E132" s="78">
        <v>23</v>
      </c>
      <c r="F132" s="78">
        <v>30</v>
      </c>
      <c r="G132" s="78">
        <v>61</v>
      </c>
      <c r="H132" s="78">
        <v>59</v>
      </c>
      <c r="I132" s="78">
        <v>0</v>
      </c>
      <c r="J132" s="78">
        <v>0</v>
      </c>
      <c r="K132" s="78">
        <v>120</v>
      </c>
      <c r="L132" s="78">
        <v>21</v>
      </c>
      <c r="M132" s="78">
        <v>28</v>
      </c>
      <c r="N132" s="78">
        <v>13</v>
      </c>
      <c r="O132" s="78">
        <v>62</v>
      </c>
      <c r="P132" s="78">
        <v>119</v>
      </c>
      <c r="Q132" s="78">
        <v>0</v>
      </c>
      <c r="R132" s="78">
        <v>0</v>
      </c>
      <c r="S132" s="78">
        <v>181</v>
      </c>
      <c r="T132" s="78">
        <v>301</v>
      </c>
      <c r="U132" s="112">
        <v>1</v>
      </c>
      <c r="V132" s="112">
        <v>1</v>
      </c>
      <c r="W132" s="78" t="s">
        <v>79</v>
      </c>
    </row>
    <row r="133" spans="1:23" s="115" customFormat="1" ht="14.45" customHeight="1" x14ac:dyDescent="0.2">
      <c r="A133" s="78" t="s">
        <v>450</v>
      </c>
      <c r="B133" s="78" t="s">
        <v>487</v>
      </c>
      <c r="C133" s="78">
        <v>0</v>
      </c>
      <c r="D133" s="78">
        <v>0</v>
      </c>
      <c r="E133" s="78">
        <v>0</v>
      </c>
      <c r="F133" s="78">
        <v>0</v>
      </c>
      <c r="G133" s="78">
        <v>0</v>
      </c>
      <c r="H133" s="78">
        <v>0</v>
      </c>
      <c r="I133" s="78">
        <v>0</v>
      </c>
      <c r="J133" s="78">
        <v>0</v>
      </c>
      <c r="K133" s="78">
        <v>0</v>
      </c>
      <c r="L133" s="78">
        <v>0</v>
      </c>
      <c r="M133" s="78">
        <v>0</v>
      </c>
      <c r="N133" s="78">
        <v>0</v>
      </c>
      <c r="O133" s="78">
        <v>0</v>
      </c>
      <c r="P133" s="78">
        <v>0</v>
      </c>
      <c r="Q133" s="78">
        <v>0</v>
      </c>
      <c r="R133" s="78">
        <v>0</v>
      </c>
      <c r="S133" s="78">
        <v>0</v>
      </c>
      <c r="T133" s="78">
        <v>23842</v>
      </c>
      <c r="U133" s="112">
        <v>0</v>
      </c>
      <c r="V133" s="112">
        <v>0</v>
      </c>
      <c r="W133" s="78" t="s">
        <v>81</v>
      </c>
    </row>
    <row r="134" spans="1:23" s="115" customFormat="1" ht="14.45" customHeight="1" x14ac:dyDescent="0.2">
      <c r="A134" s="78" t="s">
        <v>450</v>
      </c>
      <c r="B134" s="78" t="s">
        <v>489</v>
      </c>
      <c r="C134" s="78">
        <v>6918373</v>
      </c>
      <c r="D134" s="78">
        <v>58863</v>
      </c>
      <c r="E134" s="78">
        <v>236446</v>
      </c>
      <c r="F134" s="78">
        <v>362091</v>
      </c>
      <c r="G134" s="78">
        <v>657400</v>
      </c>
      <c r="H134" s="78">
        <v>2185675</v>
      </c>
      <c r="I134" s="78">
        <v>460987</v>
      </c>
      <c r="J134" s="78">
        <v>164510</v>
      </c>
      <c r="K134" s="78">
        <v>3468572</v>
      </c>
      <c r="L134" s="78">
        <v>58544</v>
      </c>
      <c r="M134" s="78">
        <v>235131</v>
      </c>
      <c r="N134" s="78">
        <v>363061</v>
      </c>
      <c r="O134" s="78">
        <v>656736</v>
      </c>
      <c r="P134" s="78">
        <v>2173448</v>
      </c>
      <c r="Q134" s="78">
        <v>456428</v>
      </c>
      <c r="R134" s="78">
        <v>163189</v>
      </c>
      <c r="S134" s="78">
        <v>3449801</v>
      </c>
      <c r="T134" s="78">
        <v>6918373</v>
      </c>
      <c r="U134" s="112">
        <v>0.95263351657969297</v>
      </c>
      <c r="V134" s="112">
        <v>1</v>
      </c>
      <c r="W134" s="78" t="s">
        <v>81</v>
      </c>
    </row>
    <row r="135" spans="1:23" s="115" customFormat="1" ht="14.45" customHeight="1" x14ac:dyDescent="0.2">
      <c r="A135" s="78" t="s">
        <v>450</v>
      </c>
      <c r="B135" s="78" t="s">
        <v>488</v>
      </c>
      <c r="C135" s="78">
        <v>2840213</v>
      </c>
      <c r="D135" s="78">
        <v>58917</v>
      </c>
      <c r="E135" s="78">
        <v>0</v>
      </c>
      <c r="F135" s="78">
        <v>330618</v>
      </c>
      <c r="G135" s="78">
        <v>389535</v>
      </c>
      <c r="H135" s="78">
        <v>1023603</v>
      </c>
      <c r="I135" s="78">
        <v>63491</v>
      </c>
      <c r="J135" s="78">
        <v>284</v>
      </c>
      <c r="K135" s="78">
        <v>1476913</v>
      </c>
      <c r="L135" s="78">
        <v>60026</v>
      </c>
      <c r="M135" s="78">
        <v>0</v>
      </c>
      <c r="N135" s="78">
        <v>329189</v>
      </c>
      <c r="O135" s="78">
        <v>389215</v>
      </c>
      <c r="P135" s="78">
        <v>932783</v>
      </c>
      <c r="Q135" s="78">
        <v>41041</v>
      </c>
      <c r="R135" s="78">
        <v>261</v>
      </c>
      <c r="S135" s="78">
        <v>1363300</v>
      </c>
      <c r="T135" s="78">
        <v>2851160</v>
      </c>
      <c r="U135" s="112">
        <v>0.99596935983950396</v>
      </c>
      <c r="V135" s="112">
        <v>0.99616051010816697</v>
      </c>
      <c r="W135" s="78" t="s">
        <v>81</v>
      </c>
    </row>
    <row r="136" spans="1:23" s="115" customFormat="1" ht="14.45" customHeight="1" x14ac:dyDescent="0.2">
      <c r="A136" s="78" t="s">
        <v>450</v>
      </c>
      <c r="B136" s="78" t="s">
        <v>491</v>
      </c>
      <c r="C136" s="78">
        <v>0</v>
      </c>
      <c r="D136" s="78">
        <v>0</v>
      </c>
      <c r="E136" s="78">
        <v>0</v>
      </c>
      <c r="F136" s="78">
        <v>0</v>
      </c>
      <c r="G136" s="78">
        <v>0</v>
      </c>
      <c r="H136" s="78">
        <v>0</v>
      </c>
      <c r="I136" s="78">
        <v>0</v>
      </c>
      <c r="J136" s="78">
        <v>0</v>
      </c>
      <c r="K136" s="78">
        <v>0</v>
      </c>
      <c r="L136" s="78">
        <v>0</v>
      </c>
      <c r="M136" s="78">
        <v>0</v>
      </c>
      <c r="N136" s="78">
        <v>0</v>
      </c>
      <c r="O136" s="78">
        <v>0</v>
      </c>
      <c r="P136" s="78">
        <v>0</v>
      </c>
      <c r="Q136" s="78">
        <v>0</v>
      </c>
      <c r="R136" s="78">
        <v>0</v>
      </c>
      <c r="S136" s="78">
        <v>0</v>
      </c>
      <c r="T136" s="78">
        <v>516614</v>
      </c>
      <c r="U136" s="112">
        <v>0</v>
      </c>
      <c r="V136" s="112">
        <v>0</v>
      </c>
      <c r="W136" s="78" t="s">
        <v>81</v>
      </c>
    </row>
    <row r="137" spans="1:23" s="115" customFormat="1" ht="14.45" customHeight="1" x14ac:dyDescent="0.2">
      <c r="A137" s="78" t="s">
        <v>450</v>
      </c>
      <c r="B137" s="78" t="s">
        <v>492</v>
      </c>
      <c r="C137" s="78">
        <v>0</v>
      </c>
      <c r="D137" s="78">
        <v>0</v>
      </c>
      <c r="E137" s="78">
        <v>0</v>
      </c>
      <c r="F137" s="78">
        <v>0</v>
      </c>
      <c r="G137" s="78">
        <v>0</v>
      </c>
      <c r="H137" s="78">
        <v>0</v>
      </c>
      <c r="I137" s="78">
        <v>0</v>
      </c>
      <c r="J137" s="78">
        <v>0</v>
      </c>
      <c r="K137" s="78">
        <v>0</v>
      </c>
      <c r="L137" s="78">
        <v>0</v>
      </c>
      <c r="M137" s="78">
        <v>0</v>
      </c>
      <c r="N137" s="78">
        <v>0</v>
      </c>
      <c r="O137" s="78">
        <v>0</v>
      </c>
      <c r="P137" s="78">
        <v>0</v>
      </c>
      <c r="Q137" s="78">
        <v>0</v>
      </c>
      <c r="R137" s="78">
        <v>0</v>
      </c>
      <c r="S137" s="78">
        <v>0</v>
      </c>
      <c r="T137" s="78">
        <v>5</v>
      </c>
      <c r="U137" s="112">
        <v>0</v>
      </c>
      <c r="V137" s="112">
        <v>0</v>
      </c>
      <c r="W137" s="78" t="s">
        <v>81</v>
      </c>
    </row>
    <row r="138" spans="1:23" s="115" customFormat="1" ht="14.45" customHeight="1" x14ac:dyDescent="0.2">
      <c r="A138" s="78" t="s">
        <v>450</v>
      </c>
      <c r="B138" s="78" t="s">
        <v>486</v>
      </c>
      <c r="C138" s="78">
        <v>0</v>
      </c>
      <c r="D138" s="78">
        <v>0</v>
      </c>
      <c r="E138" s="78">
        <v>0</v>
      </c>
      <c r="F138" s="78">
        <v>0</v>
      </c>
      <c r="G138" s="78">
        <v>0</v>
      </c>
      <c r="H138" s="78">
        <v>0</v>
      </c>
      <c r="I138" s="78">
        <v>0</v>
      </c>
      <c r="J138" s="78">
        <v>0</v>
      </c>
      <c r="K138" s="78">
        <v>0</v>
      </c>
      <c r="L138" s="78">
        <v>0</v>
      </c>
      <c r="M138" s="78">
        <v>0</v>
      </c>
      <c r="N138" s="78">
        <v>0</v>
      </c>
      <c r="O138" s="78">
        <v>0</v>
      </c>
      <c r="P138" s="78">
        <v>0</v>
      </c>
      <c r="Q138" s="78">
        <v>0</v>
      </c>
      <c r="R138" s="78">
        <v>0</v>
      </c>
      <c r="S138" s="78">
        <v>0</v>
      </c>
      <c r="T138" s="78">
        <v>1382</v>
      </c>
      <c r="U138" s="112">
        <v>0</v>
      </c>
      <c r="V138" s="112">
        <v>0</v>
      </c>
      <c r="W138" s="78" t="s">
        <v>81</v>
      </c>
    </row>
    <row r="139" spans="1:23" s="115" customFormat="1" ht="14.45" customHeight="1" x14ac:dyDescent="0.2">
      <c r="A139" s="78" t="s">
        <v>82</v>
      </c>
      <c r="B139" s="78" t="s">
        <v>486</v>
      </c>
      <c r="C139" s="78">
        <v>10</v>
      </c>
      <c r="D139" s="78">
        <v>0</v>
      </c>
      <c r="E139" s="78">
        <v>0</v>
      </c>
      <c r="F139" s="78">
        <v>0</v>
      </c>
      <c r="G139" s="78">
        <v>0</v>
      </c>
      <c r="H139" s="78">
        <v>10</v>
      </c>
      <c r="I139" s="78">
        <v>0</v>
      </c>
      <c r="J139" s="78">
        <v>0</v>
      </c>
      <c r="K139" s="78">
        <v>10</v>
      </c>
      <c r="L139" s="78">
        <v>0</v>
      </c>
      <c r="M139" s="78">
        <v>0</v>
      </c>
      <c r="N139" s="78">
        <v>0</v>
      </c>
      <c r="O139" s="78">
        <v>0</v>
      </c>
      <c r="P139" s="78">
        <v>0</v>
      </c>
      <c r="Q139" s="78">
        <v>0</v>
      </c>
      <c r="R139" s="78">
        <v>0</v>
      </c>
      <c r="S139" s="78">
        <v>0</v>
      </c>
      <c r="T139" s="78">
        <v>10</v>
      </c>
      <c r="U139" s="112">
        <v>1</v>
      </c>
      <c r="V139" s="112">
        <v>1</v>
      </c>
      <c r="W139" s="78" t="s">
        <v>83</v>
      </c>
    </row>
    <row r="140" spans="1:23" s="115" customFormat="1" ht="14.45" customHeight="1" x14ac:dyDescent="0.2">
      <c r="A140" s="78" t="s">
        <v>84</v>
      </c>
      <c r="B140" s="78" t="s">
        <v>487</v>
      </c>
      <c r="C140" s="78">
        <v>6585</v>
      </c>
      <c r="D140" s="78">
        <v>282</v>
      </c>
      <c r="E140" s="78">
        <v>615</v>
      </c>
      <c r="F140" s="78">
        <v>469</v>
      </c>
      <c r="G140" s="78">
        <v>1366</v>
      </c>
      <c r="H140" s="78">
        <v>1766</v>
      </c>
      <c r="I140" s="78">
        <v>64</v>
      </c>
      <c r="J140" s="78">
        <v>0</v>
      </c>
      <c r="K140" s="78">
        <v>3196</v>
      </c>
      <c r="L140" s="78">
        <v>237</v>
      </c>
      <c r="M140" s="78">
        <v>629</v>
      </c>
      <c r="N140" s="78">
        <v>430</v>
      </c>
      <c r="O140" s="78">
        <v>1296</v>
      </c>
      <c r="P140" s="78">
        <v>2012</v>
      </c>
      <c r="Q140" s="78">
        <v>81</v>
      </c>
      <c r="R140" s="78">
        <v>0</v>
      </c>
      <c r="S140" s="78">
        <v>3389</v>
      </c>
      <c r="T140" s="78">
        <v>6585</v>
      </c>
      <c r="U140" s="112">
        <v>1</v>
      </c>
      <c r="V140" s="112">
        <v>1</v>
      </c>
      <c r="W140" s="78" t="s">
        <v>85</v>
      </c>
    </row>
    <row r="141" spans="1:23" s="115" customFormat="1" ht="14.45" customHeight="1" x14ac:dyDescent="0.2">
      <c r="A141" s="78" t="s">
        <v>84</v>
      </c>
      <c r="B141" s="78" t="s">
        <v>491</v>
      </c>
      <c r="C141" s="78">
        <v>12545</v>
      </c>
      <c r="D141" s="78">
        <v>1176</v>
      </c>
      <c r="E141" s="78">
        <v>1858</v>
      </c>
      <c r="F141" s="78">
        <v>788</v>
      </c>
      <c r="G141" s="78">
        <v>3822</v>
      </c>
      <c r="H141" s="78">
        <v>1882</v>
      </c>
      <c r="I141" s="78">
        <v>60</v>
      </c>
      <c r="J141" s="78">
        <v>0</v>
      </c>
      <c r="K141" s="78">
        <v>5764</v>
      </c>
      <c r="L141" s="78">
        <v>1183</v>
      </c>
      <c r="M141" s="78">
        <v>1860</v>
      </c>
      <c r="N141" s="78">
        <v>858</v>
      </c>
      <c r="O141" s="78">
        <v>3901</v>
      </c>
      <c r="P141" s="78">
        <v>2720</v>
      </c>
      <c r="Q141" s="78">
        <v>160</v>
      </c>
      <c r="R141" s="78">
        <v>0</v>
      </c>
      <c r="S141" s="78">
        <v>6781</v>
      </c>
      <c r="T141" s="78">
        <v>12545</v>
      </c>
      <c r="U141" s="112">
        <v>1</v>
      </c>
      <c r="V141" s="112">
        <v>1</v>
      </c>
      <c r="W141" s="78" t="s">
        <v>85</v>
      </c>
    </row>
    <row r="142" spans="1:23" s="115" customFormat="1" ht="14.45" customHeight="1" x14ac:dyDescent="0.2">
      <c r="A142" s="78" t="s">
        <v>84</v>
      </c>
      <c r="B142" s="78" t="s">
        <v>486</v>
      </c>
      <c r="C142" s="78">
        <v>60637</v>
      </c>
      <c r="D142" s="78">
        <v>3146</v>
      </c>
      <c r="E142" s="78">
        <v>5747</v>
      </c>
      <c r="F142" s="78">
        <v>4739</v>
      </c>
      <c r="G142" s="78">
        <v>13632</v>
      </c>
      <c r="H142" s="78">
        <v>15503</v>
      </c>
      <c r="I142" s="78">
        <v>1185</v>
      </c>
      <c r="J142" s="78">
        <v>0</v>
      </c>
      <c r="K142" s="78">
        <v>30320</v>
      </c>
      <c r="L142" s="78">
        <v>2879</v>
      </c>
      <c r="M142" s="78">
        <v>5703</v>
      </c>
      <c r="N142" s="78">
        <v>4656</v>
      </c>
      <c r="O142" s="78">
        <v>13238</v>
      </c>
      <c r="P142" s="78">
        <v>15862</v>
      </c>
      <c r="Q142" s="78">
        <v>1217</v>
      </c>
      <c r="R142" s="78">
        <v>0</v>
      </c>
      <c r="S142" s="78">
        <v>30317</v>
      </c>
      <c r="T142" s="78">
        <v>60637</v>
      </c>
      <c r="U142" s="112">
        <v>1</v>
      </c>
      <c r="V142" s="112">
        <v>1</v>
      </c>
      <c r="W142" s="78" t="s">
        <v>85</v>
      </c>
    </row>
    <row r="143" spans="1:23" s="115" customFormat="1" ht="14.45" customHeight="1" x14ac:dyDescent="0.2">
      <c r="A143" s="78" t="s">
        <v>375</v>
      </c>
      <c r="B143" s="78" t="s">
        <v>487</v>
      </c>
      <c r="C143" s="78">
        <v>193665</v>
      </c>
      <c r="D143" s="78">
        <v>765</v>
      </c>
      <c r="E143" s="78">
        <v>3350</v>
      </c>
      <c r="F143" s="78">
        <v>4075</v>
      </c>
      <c r="G143" s="78">
        <v>8190</v>
      </c>
      <c r="H143" s="78">
        <v>82495</v>
      </c>
      <c r="I143" s="78">
        <v>11904</v>
      </c>
      <c r="J143" s="78">
        <v>0</v>
      </c>
      <c r="K143" s="78">
        <v>102589</v>
      </c>
      <c r="L143" s="78">
        <v>1080</v>
      </c>
      <c r="M143" s="78">
        <v>3502</v>
      </c>
      <c r="N143" s="78">
        <v>4880</v>
      </c>
      <c r="O143" s="78">
        <v>9462</v>
      </c>
      <c r="P143" s="78">
        <v>71997</v>
      </c>
      <c r="Q143" s="78">
        <v>9617</v>
      </c>
      <c r="R143" s="78">
        <v>0</v>
      </c>
      <c r="S143" s="78">
        <v>91076</v>
      </c>
      <c r="T143" s="78">
        <v>193718</v>
      </c>
      <c r="U143" s="112">
        <v>0.99972640642583599</v>
      </c>
      <c r="V143" s="112">
        <v>0.99972640642583599</v>
      </c>
      <c r="W143" s="78" t="s">
        <v>86</v>
      </c>
    </row>
    <row r="144" spans="1:23" s="115" customFormat="1" ht="14.45" customHeight="1" x14ac:dyDescent="0.2">
      <c r="A144" s="78" t="s">
        <v>375</v>
      </c>
      <c r="B144" s="78" t="s">
        <v>488</v>
      </c>
      <c r="C144" s="78">
        <v>18448</v>
      </c>
      <c r="D144" s="78">
        <v>0</v>
      </c>
      <c r="E144" s="78">
        <v>0</v>
      </c>
      <c r="F144" s="78">
        <v>0</v>
      </c>
      <c r="G144" s="78">
        <v>0</v>
      </c>
      <c r="H144" s="78">
        <v>0</v>
      </c>
      <c r="I144" s="78">
        <v>0</v>
      </c>
      <c r="J144" s="78">
        <v>9411</v>
      </c>
      <c r="K144" s="78">
        <v>9411</v>
      </c>
      <c r="L144" s="78">
        <v>0</v>
      </c>
      <c r="M144" s="78">
        <v>0</v>
      </c>
      <c r="N144" s="78">
        <v>0</v>
      </c>
      <c r="O144" s="78">
        <v>0</v>
      </c>
      <c r="P144" s="78">
        <v>0</v>
      </c>
      <c r="Q144" s="78">
        <v>0</v>
      </c>
      <c r="R144" s="78">
        <v>9037</v>
      </c>
      <c r="S144" s="78">
        <v>9037</v>
      </c>
      <c r="T144" s="78">
        <v>18448</v>
      </c>
      <c r="U144" s="112">
        <v>0</v>
      </c>
      <c r="V144" s="112">
        <v>1</v>
      </c>
      <c r="W144" s="78" t="s">
        <v>86</v>
      </c>
    </row>
    <row r="145" spans="1:23" s="115" customFormat="1" ht="14.45" customHeight="1" x14ac:dyDescent="0.2">
      <c r="A145" s="78" t="s">
        <v>375</v>
      </c>
      <c r="B145" s="78" t="s">
        <v>491</v>
      </c>
      <c r="C145" s="78">
        <v>32853</v>
      </c>
      <c r="D145" s="78">
        <v>0</v>
      </c>
      <c r="E145" s="78">
        <v>0</v>
      </c>
      <c r="F145" s="78">
        <v>0</v>
      </c>
      <c r="G145" s="78">
        <v>0</v>
      </c>
      <c r="H145" s="78">
        <v>0</v>
      </c>
      <c r="I145" s="78">
        <v>0</v>
      </c>
      <c r="J145" s="78">
        <v>11830</v>
      </c>
      <c r="K145" s="78">
        <v>11830</v>
      </c>
      <c r="L145" s="78">
        <v>0</v>
      </c>
      <c r="M145" s="78">
        <v>0</v>
      </c>
      <c r="N145" s="78">
        <v>0</v>
      </c>
      <c r="O145" s="78">
        <v>0</v>
      </c>
      <c r="P145" s="78">
        <v>0</v>
      </c>
      <c r="Q145" s="78">
        <v>0</v>
      </c>
      <c r="R145" s="78">
        <v>21023</v>
      </c>
      <c r="S145" s="78">
        <v>21023</v>
      </c>
      <c r="T145" s="78">
        <v>32853</v>
      </c>
      <c r="U145" s="112">
        <v>0</v>
      </c>
      <c r="V145" s="112">
        <v>1</v>
      </c>
      <c r="W145" s="78" t="s">
        <v>86</v>
      </c>
    </row>
    <row r="146" spans="1:23" s="115" customFormat="1" ht="14.45" customHeight="1" x14ac:dyDescent="0.2">
      <c r="A146" s="78" t="s">
        <v>375</v>
      </c>
      <c r="B146" s="78" t="s">
        <v>486</v>
      </c>
      <c r="C146" s="78">
        <v>12725</v>
      </c>
      <c r="D146" s="78">
        <v>39</v>
      </c>
      <c r="E146" s="78">
        <v>187</v>
      </c>
      <c r="F146" s="78">
        <v>264</v>
      </c>
      <c r="G146" s="78">
        <v>490</v>
      </c>
      <c r="H146" s="78">
        <v>5590</v>
      </c>
      <c r="I146" s="78">
        <v>838</v>
      </c>
      <c r="J146" s="78">
        <v>0</v>
      </c>
      <c r="K146" s="78">
        <v>6918</v>
      </c>
      <c r="L146" s="78">
        <v>60</v>
      </c>
      <c r="M146" s="78">
        <v>187</v>
      </c>
      <c r="N146" s="78">
        <v>326</v>
      </c>
      <c r="O146" s="78">
        <v>573</v>
      </c>
      <c r="P146" s="78">
        <v>4550</v>
      </c>
      <c r="Q146" s="78">
        <v>684</v>
      </c>
      <c r="R146" s="78">
        <v>0</v>
      </c>
      <c r="S146" s="78">
        <v>5807</v>
      </c>
      <c r="T146" s="78">
        <v>23422</v>
      </c>
      <c r="U146" s="112">
        <v>0.543292630859875</v>
      </c>
      <c r="V146" s="112">
        <v>0.543292630859875</v>
      </c>
      <c r="W146" s="78" t="s">
        <v>86</v>
      </c>
    </row>
    <row r="147" spans="1:23" s="115" customFormat="1" ht="14.45" customHeight="1" x14ac:dyDescent="0.2">
      <c r="A147" s="78" t="s">
        <v>375</v>
      </c>
      <c r="B147" s="78" t="s">
        <v>490</v>
      </c>
      <c r="C147" s="78">
        <v>0</v>
      </c>
      <c r="D147" s="78">
        <v>0</v>
      </c>
      <c r="E147" s="78">
        <v>0</v>
      </c>
      <c r="F147" s="78">
        <v>0</v>
      </c>
      <c r="G147" s="78">
        <v>0</v>
      </c>
      <c r="H147" s="78">
        <v>0</v>
      </c>
      <c r="I147" s="78">
        <v>0</v>
      </c>
      <c r="J147" s="78">
        <v>0</v>
      </c>
      <c r="K147" s="78">
        <v>0</v>
      </c>
      <c r="L147" s="78">
        <v>0</v>
      </c>
      <c r="M147" s="78">
        <v>0</v>
      </c>
      <c r="N147" s="78">
        <v>0</v>
      </c>
      <c r="O147" s="78">
        <v>0</v>
      </c>
      <c r="P147" s="78">
        <v>0</v>
      </c>
      <c r="Q147" s="78">
        <v>0</v>
      </c>
      <c r="R147" s="78">
        <v>0</v>
      </c>
      <c r="S147" s="78">
        <v>0</v>
      </c>
      <c r="T147" s="78">
        <v>312</v>
      </c>
      <c r="U147" s="112">
        <v>0</v>
      </c>
      <c r="V147" s="112">
        <v>0</v>
      </c>
      <c r="W147" s="78" t="s">
        <v>86</v>
      </c>
    </row>
    <row r="148" spans="1:23" s="115" customFormat="1" ht="14.45" customHeight="1" x14ac:dyDescent="0.2">
      <c r="A148" s="78" t="s">
        <v>88</v>
      </c>
      <c r="B148" s="78" t="s">
        <v>487</v>
      </c>
      <c r="C148" s="78">
        <v>1597</v>
      </c>
      <c r="D148" s="78">
        <v>0</v>
      </c>
      <c r="E148" s="78">
        <v>0</v>
      </c>
      <c r="F148" s="78">
        <v>0</v>
      </c>
      <c r="G148" s="78">
        <v>0</v>
      </c>
      <c r="H148" s="78">
        <v>0</v>
      </c>
      <c r="I148" s="78">
        <v>0</v>
      </c>
      <c r="J148" s="78">
        <v>497</v>
      </c>
      <c r="K148" s="78">
        <v>497</v>
      </c>
      <c r="L148" s="78">
        <v>0</v>
      </c>
      <c r="M148" s="78">
        <v>0</v>
      </c>
      <c r="N148" s="78">
        <v>0</v>
      </c>
      <c r="O148" s="78">
        <v>0</v>
      </c>
      <c r="P148" s="78">
        <v>0</v>
      </c>
      <c r="Q148" s="78">
        <v>0</v>
      </c>
      <c r="R148" s="78">
        <v>1100</v>
      </c>
      <c r="S148" s="78">
        <v>1100</v>
      </c>
      <c r="T148" s="78">
        <v>1597</v>
      </c>
      <c r="U148" s="112">
        <v>0</v>
      </c>
      <c r="V148" s="112">
        <v>1</v>
      </c>
      <c r="W148" s="78" t="s">
        <v>89</v>
      </c>
    </row>
    <row r="149" spans="1:23" s="115" customFormat="1" ht="14.45" customHeight="1" x14ac:dyDescent="0.2">
      <c r="A149" s="78" t="s">
        <v>88</v>
      </c>
      <c r="B149" s="78" t="s">
        <v>491</v>
      </c>
      <c r="C149" s="78">
        <v>202</v>
      </c>
      <c r="D149" s="78">
        <v>0</v>
      </c>
      <c r="E149" s="78">
        <v>0</v>
      </c>
      <c r="F149" s="78">
        <v>0</v>
      </c>
      <c r="G149" s="78">
        <v>0</v>
      </c>
      <c r="H149" s="78">
        <v>0</v>
      </c>
      <c r="I149" s="78">
        <v>0</v>
      </c>
      <c r="J149" s="78">
        <v>47</v>
      </c>
      <c r="K149" s="78">
        <v>47</v>
      </c>
      <c r="L149" s="78">
        <v>0</v>
      </c>
      <c r="M149" s="78">
        <v>0</v>
      </c>
      <c r="N149" s="78">
        <v>0</v>
      </c>
      <c r="O149" s="78">
        <v>0</v>
      </c>
      <c r="P149" s="78">
        <v>0</v>
      </c>
      <c r="Q149" s="78">
        <v>0</v>
      </c>
      <c r="R149" s="78">
        <v>155</v>
      </c>
      <c r="S149" s="78">
        <v>155</v>
      </c>
      <c r="T149" s="78">
        <v>202</v>
      </c>
      <c r="U149" s="112">
        <v>0</v>
      </c>
      <c r="V149" s="112">
        <v>1</v>
      </c>
      <c r="W149" s="78" t="s">
        <v>89</v>
      </c>
    </row>
    <row r="150" spans="1:23" s="115" customFormat="1" ht="14.45" customHeight="1" x14ac:dyDescent="0.2">
      <c r="A150" s="78" t="s">
        <v>88</v>
      </c>
      <c r="B150" s="78" t="s">
        <v>486</v>
      </c>
      <c r="C150" s="78">
        <v>25029</v>
      </c>
      <c r="D150" s="78">
        <v>929</v>
      </c>
      <c r="E150" s="78">
        <v>1631</v>
      </c>
      <c r="F150" s="78">
        <v>1065</v>
      </c>
      <c r="G150" s="78">
        <v>3625</v>
      </c>
      <c r="H150" s="78">
        <v>10910</v>
      </c>
      <c r="I150" s="78">
        <v>0</v>
      </c>
      <c r="J150" s="78">
        <v>1769</v>
      </c>
      <c r="K150" s="78">
        <v>16304</v>
      </c>
      <c r="L150" s="78">
        <v>884</v>
      </c>
      <c r="M150" s="78">
        <v>1638</v>
      </c>
      <c r="N150" s="78">
        <v>1383</v>
      </c>
      <c r="O150" s="78">
        <v>3905</v>
      </c>
      <c r="P150" s="78">
        <v>3505</v>
      </c>
      <c r="Q150" s="78">
        <v>0</v>
      </c>
      <c r="R150" s="78">
        <v>1315</v>
      </c>
      <c r="S150" s="78">
        <v>8725</v>
      </c>
      <c r="T150" s="78">
        <v>25029</v>
      </c>
      <c r="U150" s="112">
        <v>0.87678293179911304</v>
      </c>
      <c r="V150" s="112">
        <v>1</v>
      </c>
      <c r="W150" s="78" t="s">
        <v>89</v>
      </c>
    </row>
    <row r="151" spans="1:23" s="115" customFormat="1" ht="14.45" customHeight="1" x14ac:dyDescent="0.2">
      <c r="A151" s="78" t="s">
        <v>88</v>
      </c>
      <c r="B151" s="78" t="s">
        <v>490</v>
      </c>
      <c r="C151" s="78">
        <v>729</v>
      </c>
      <c r="D151" s="78">
        <v>14</v>
      </c>
      <c r="E151" s="78">
        <v>12</v>
      </c>
      <c r="F151" s="78">
        <v>9</v>
      </c>
      <c r="G151" s="78">
        <v>35</v>
      </c>
      <c r="H151" s="78">
        <v>167</v>
      </c>
      <c r="I151" s="78">
        <v>99</v>
      </c>
      <c r="J151" s="78">
        <v>11</v>
      </c>
      <c r="K151" s="78">
        <v>312</v>
      </c>
      <c r="L151" s="78">
        <v>15</v>
      </c>
      <c r="M151" s="78">
        <v>20</v>
      </c>
      <c r="N151" s="78">
        <v>17</v>
      </c>
      <c r="O151" s="78">
        <v>52</v>
      </c>
      <c r="P151" s="78">
        <v>274</v>
      </c>
      <c r="Q151" s="78">
        <v>81</v>
      </c>
      <c r="R151" s="78">
        <v>10</v>
      </c>
      <c r="S151" s="78">
        <v>417</v>
      </c>
      <c r="T151" s="78">
        <v>729</v>
      </c>
      <c r="U151" s="112">
        <v>0.97119341563785999</v>
      </c>
      <c r="V151" s="112">
        <v>1</v>
      </c>
      <c r="W151" s="78" t="s">
        <v>89</v>
      </c>
    </row>
    <row r="152" spans="1:23" s="115" customFormat="1" ht="14.45" customHeight="1" x14ac:dyDescent="0.2">
      <c r="A152" s="78" t="s">
        <v>90</v>
      </c>
      <c r="B152" s="78" t="s">
        <v>487</v>
      </c>
      <c r="C152" s="78">
        <v>25</v>
      </c>
      <c r="D152" s="78">
        <v>0</v>
      </c>
      <c r="E152" s="78">
        <v>0</v>
      </c>
      <c r="F152" s="78">
        <v>5</v>
      </c>
      <c r="G152" s="78">
        <v>5</v>
      </c>
      <c r="H152" s="78">
        <v>5</v>
      </c>
      <c r="I152" s="78">
        <v>0</v>
      </c>
      <c r="J152" s="78">
        <v>0</v>
      </c>
      <c r="K152" s="78">
        <v>10</v>
      </c>
      <c r="L152" s="78">
        <v>5</v>
      </c>
      <c r="M152" s="78">
        <v>0</v>
      </c>
      <c r="N152" s="78">
        <v>0</v>
      </c>
      <c r="O152" s="78">
        <v>5</v>
      </c>
      <c r="P152" s="78">
        <v>10</v>
      </c>
      <c r="Q152" s="78">
        <v>0</v>
      </c>
      <c r="R152" s="78">
        <v>0</v>
      </c>
      <c r="S152" s="78">
        <v>15</v>
      </c>
      <c r="T152" s="78">
        <v>25</v>
      </c>
      <c r="U152" s="112">
        <v>1</v>
      </c>
      <c r="V152" s="112">
        <v>1</v>
      </c>
      <c r="W152" s="78" t="s">
        <v>91</v>
      </c>
    </row>
    <row r="153" spans="1:23" s="115" customFormat="1" ht="14.45" customHeight="1" x14ac:dyDescent="0.2">
      <c r="A153" s="78" t="s">
        <v>90</v>
      </c>
      <c r="B153" s="78" t="s">
        <v>491</v>
      </c>
      <c r="C153" s="78">
        <v>6</v>
      </c>
      <c r="D153" s="78">
        <v>0</v>
      </c>
      <c r="E153" s="78">
        <v>0</v>
      </c>
      <c r="F153" s="78">
        <v>0</v>
      </c>
      <c r="G153" s="78">
        <v>0</v>
      </c>
      <c r="H153" s="78">
        <v>0</v>
      </c>
      <c r="I153" s="78">
        <v>0</v>
      </c>
      <c r="J153" s="78">
        <v>0</v>
      </c>
      <c r="K153" s="78">
        <v>0</v>
      </c>
      <c r="L153" s="78">
        <v>6</v>
      </c>
      <c r="M153" s="78">
        <v>0</v>
      </c>
      <c r="N153" s="78">
        <v>0</v>
      </c>
      <c r="O153" s="78">
        <v>6</v>
      </c>
      <c r="P153" s="78">
        <v>0</v>
      </c>
      <c r="Q153" s="78">
        <v>0</v>
      </c>
      <c r="R153" s="78">
        <v>0</v>
      </c>
      <c r="S153" s="78">
        <v>6</v>
      </c>
      <c r="T153" s="78">
        <v>6</v>
      </c>
      <c r="U153" s="112">
        <v>1</v>
      </c>
      <c r="V153" s="112">
        <v>1</v>
      </c>
      <c r="W153" s="78" t="s">
        <v>91</v>
      </c>
    </row>
    <row r="154" spans="1:23" s="115" customFormat="1" ht="14.45" customHeight="1" x14ac:dyDescent="0.2">
      <c r="A154" s="78" t="s">
        <v>90</v>
      </c>
      <c r="B154" s="78" t="s">
        <v>486</v>
      </c>
      <c r="C154" s="78">
        <v>136</v>
      </c>
      <c r="D154" s="78">
        <v>0</v>
      </c>
      <c r="E154" s="78">
        <v>0</v>
      </c>
      <c r="F154" s="78">
        <v>5</v>
      </c>
      <c r="G154" s="78">
        <v>5</v>
      </c>
      <c r="H154" s="78">
        <v>22</v>
      </c>
      <c r="I154" s="78">
        <v>0</v>
      </c>
      <c r="J154" s="78">
        <v>0</v>
      </c>
      <c r="K154" s="78">
        <v>27</v>
      </c>
      <c r="L154" s="78">
        <v>0</v>
      </c>
      <c r="M154" s="78">
        <v>0</v>
      </c>
      <c r="N154" s="78">
        <v>0</v>
      </c>
      <c r="O154" s="78">
        <v>0</v>
      </c>
      <c r="P154" s="78">
        <v>104</v>
      </c>
      <c r="Q154" s="78">
        <v>5</v>
      </c>
      <c r="R154" s="78">
        <v>0</v>
      </c>
      <c r="S154" s="78">
        <v>109</v>
      </c>
      <c r="T154" s="78">
        <v>136</v>
      </c>
      <c r="U154" s="112">
        <v>1</v>
      </c>
      <c r="V154" s="112">
        <v>1</v>
      </c>
      <c r="W154" s="78" t="s">
        <v>91</v>
      </c>
    </row>
    <row r="155" spans="1:23" s="115" customFormat="1" ht="14.45" customHeight="1" x14ac:dyDescent="0.2">
      <c r="A155" s="78" t="s">
        <v>92</v>
      </c>
      <c r="B155" s="78" t="s">
        <v>488</v>
      </c>
      <c r="C155" s="78">
        <v>14000</v>
      </c>
      <c r="D155" s="78">
        <v>0</v>
      </c>
      <c r="E155" s="78">
        <v>0</v>
      </c>
      <c r="F155" s="78">
        <v>0</v>
      </c>
      <c r="G155" s="78">
        <v>0</v>
      </c>
      <c r="H155" s="78">
        <v>0</v>
      </c>
      <c r="I155" s="78">
        <v>0</v>
      </c>
      <c r="J155" s="78">
        <v>7980</v>
      </c>
      <c r="K155" s="78">
        <v>7980</v>
      </c>
      <c r="L155" s="78">
        <v>0</v>
      </c>
      <c r="M155" s="78">
        <v>0</v>
      </c>
      <c r="N155" s="78">
        <v>0</v>
      </c>
      <c r="O155" s="78">
        <v>0</v>
      </c>
      <c r="P155" s="78">
        <v>0</v>
      </c>
      <c r="Q155" s="78">
        <v>0</v>
      </c>
      <c r="R155" s="78">
        <v>6020</v>
      </c>
      <c r="S155" s="78">
        <v>6020</v>
      </c>
      <c r="T155" s="78">
        <v>14000</v>
      </c>
      <c r="U155" s="112">
        <v>0</v>
      </c>
      <c r="V155" s="112">
        <v>1</v>
      </c>
      <c r="W155" s="78" t="s">
        <v>93</v>
      </c>
    </row>
    <row r="156" spans="1:23" s="115" customFormat="1" ht="14.45" customHeight="1" x14ac:dyDescent="0.2">
      <c r="A156" s="78" t="s">
        <v>94</v>
      </c>
      <c r="B156" s="78" t="s">
        <v>487</v>
      </c>
      <c r="C156" s="78">
        <v>0</v>
      </c>
      <c r="D156" s="78">
        <v>0</v>
      </c>
      <c r="E156" s="78">
        <v>0</v>
      </c>
      <c r="F156" s="78">
        <v>0</v>
      </c>
      <c r="G156" s="78">
        <v>0</v>
      </c>
      <c r="H156" s="78">
        <v>0</v>
      </c>
      <c r="I156" s="78">
        <v>0</v>
      </c>
      <c r="J156" s="78">
        <v>0</v>
      </c>
      <c r="K156" s="78">
        <v>0</v>
      </c>
      <c r="L156" s="78">
        <v>0</v>
      </c>
      <c r="M156" s="78">
        <v>0</v>
      </c>
      <c r="N156" s="78">
        <v>0</v>
      </c>
      <c r="O156" s="78">
        <v>0</v>
      </c>
      <c r="P156" s="78">
        <v>0</v>
      </c>
      <c r="Q156" s="78">
        <v>0</v>
      </c>
      <c r="R156" s="78">
        <v>0</v>
      </c>
      <c r="S156" s="78">
        <v>0</v>
      </c>
      <c r="T156" s="78">
        <v>31664</v>
      </c>
      <c r="U156" s="112">
        <v>0</v>
      </c>
      <c r="V156" s="112">
        <v>0</v>
      </c>
      <c r="W156" s="78" t="s">
        <v>95</v>
      </c>
    </row>
    <row r="157" spans="1:23" s="115" customFormat="1" ht="14.45" customHeight="1" x14ac:dyDescent="0.2">
      <c r="A157" s="78" t="s">
        <v>94</v>
      </c>
      <c r="B157" s="78" t="s">
        <v>486</v>
      </c>
      <c r="C157" s="78">
        <v>0</v>
      </c>
      <c r="D157" s="78">
        <v>0</v>
      </c>
      <c r="E157" s="78">
        <v>0</v>
      </c>
      <c r="F157" s="78">
        <v>0</v>
      </c>
      <c r="G157" s="78">
        <v>0</v>
      </c>
      <c r="H157" s="78">
        <v>0</v>
      </c>
      <c r="I157" s="78">
        <v>0</v>
      </c>
      <c r="J157" s="78">
        <v>0</v>
      </c>
      <c r="K157" s="78">
        <v>0</v>
      </c>
      <c r="L157" s="78">
        <v>0</v>
      </c>
      <c r="M157" s="78">
        <v>0</v>
      </c>
      <c r="N157" s="78">
        <v>0</v>
      </c>
      <c r="O157" s="78">
        <v>0</v>
      </c>
      <c r="P157" s="78">
        <v>0</v>
      </c>
      <c r="Q157" s="78">
        <v>0</v>
      </c>
      <c r="R157" s="78">
        <v>0</v>
      </c>
      <c r="S157" s="78">
        <v>0</v>
      </c>
      <c r="T157" s="78">
        <v>39044</v>
      </c>
      <c r="U157" s="112">
        <v>0</v>
      </c>
      <c r="V157" s="112">
        <v>0</v>
      </c>
      <c r="W157" s="78" t="s">
        <v>95</v>
      </c>
    </row>
    <row r="158" spans="1:23" s="115" customFormat="1" ht="14.45" customHeight="1" x14ac:dyDescent="0.2">
      <c r="A158" s="78" t="s">
        <v>96</v>
      </c>
      <c r="B158" s="78" t="s">
        <v>487</v>
      </c>
      <c r="C158" s="78">
        <v>240</v>
      </c>
      <c r="D158" s="78">
        <v>6</v>
      </c>
      <c r="E158" s="78">
        <v>10</v>
      </c>
      <c r="F158" s="78">
        <v>0</v>
      </c>
      <c r="G158" s="78">
        <v>16</v>
      </c>
      <c r="H158" s="78">
        <v>40</v>
      </c>
      <c r="I158" s="78">
        <v>5</v>
      </c>
      <c r="J158" s="78">
        <v>0</v>
      </c>
      <c r="K158" s="78">
        <v>61</v>
      </c>
      <c r="L158" s="78">
        <v>5</v>
      </c>
      <c r="M158" s="78">
        <v>15</v>
      </c>
      <c r="N158" s="78">
        <v>24</v>
      </c>
      <c r="O158" s="78">
        <v>44</v>
      </c>
      <c r="P158" s="78">
        <v>125</v>
      </c>
      <c r="Q158" s="78">
        <v>10</v>
      </c>
      <c r="R158" s="78">
        <v>0</v>
      </c>
      <c r="S158" s="78">
        <v>179</v>
      </c>
      <c r="T158" s="78">
        <v>1239</v>
      </c>
      <c r="U158" s="112">
        <v>0.193704600484261</v>
      </c>
      <c r="V158" s="112">
        <v>0.193704600484261</v>
      </c>
      <c r="W158" s="78" t="s">
        <v>97</v>
      </c>
    </row>
    <row r="159" spans="1:23" s="115" customFormat="1" ht="14.45" customHeight="1" x14ac:dyDescent="0.2">
      <c r="A159" s="78" t="s">
        <v>96</v>
      </c>
      <c r="B159" s="78" t="s">
        <v>491</v>
      </c>
      <c r="C159" s="78">
        <v>0</v>
      </c>
      <c r="D159" s="78">
        <v>0</v>
      </c>
      <c r="E159" s="78">
        <v>0</v>
      </c>
      <c r="F159" s="78">
        <v>0</v>
      </c>
      <c r="G159" s="78">
        <v>0</v>
      </c>
      <c r="H159" s="78">
        <v>0</v>
      </c>
      <c r="I159" s="78">
        <v>0</v>
      </c>
      <c r="J159" s="78">
        <v>0</v>
      </c>
      <c r="K159" s="78">
        <v>0</v>
      </c>
      <c r="L159" s="78">
        <v>0</v>
      </c>
      <c r="M159" s="78">
        <v>0</v>
      </c>
      <c r="N159" s="78">
        <v>0</v>
      </c>
      <c r="O159" s="78">
        <v>0</v>
      </c>
      <c r="P159" s="78">
        <v>0</v>
      </c>
      <c r="Q159" s="78">
        <v>0</v>
      </c>
      <c r="R159" s="78">
        <v>0</v>
      </c>
      <c r="S159" s="78">
        <v>0</v>
      </c>
      <c r="T159" s="78">
        <v>537</v>
      </c>
      <c r="U159" s="112">
        <v>0</v>
      </c>
      <c r="V159" s="112">
        <v>0</v>
      </c>
      <c r="W159" s="78" t="s">
        <v>97</v>
      </c>
    </row>
    <row r="160" spans="1:23" s="115" customFormat="1" ht="14.45" customHeight="1" x14ac:dyDescent="0.2">
      <c r="A160" s="78" t="s">
        <v>96</v>
      </c>
      <c r="B160" s="78" t="s">
        <v>486</v>
      </c>
      <c r="C160" s="78">
        <v>55</v>
      </c>
      <c r="D160" s="78">
        <v>0</v>
      </c>
      <c r="E160" s="78">
        <v>5</v>
      </c>
      <c r="F160" s="78">
        <v>0</v>
      </c>
      <c r="G160" s="78">
        <v>5</v>
      </c>
      <c r="H160" s="78">
        <v>28</v>
      </c>
      <c r="I160" s="78">
        <v>0</v>
      </c>
      <c r="J160" s="78">
        <v>0</v>
      </c>
      <c r="K160" s="78">
        <v>33</v>
      </c>
      <c r="L160" s="78">
        <v>0</v>
      </c>
      <c r="M160" s="78">
        <v>0</v>
      </c>
      <c r="N160" s="78">
        <v>0</v>
      </c>
      <c r="O160" s="78">
        <v>0</v>
      </c>
      <c r="P160" s="78">
        <v>22</v>
      </c>
      <c r="Q160" s="78">
        <v>0</v>
      </c>
      <c r="R160" s="78">
        <v>0</v>
      </c>
      <c r="S160" s="78">
        <v>22</v>
      </c>
      <c r="T160" s="78">
        <v>377120</v>
      </c>
      <c r="U160" s="112">
        <v>1.4584217225286399E-4</v>
      </c>
      <c r="V160" s="112">
        <v>1.4584217225286399E-4</v>
      </c>
      <c r="W160" s="78" t="s">
        <v>97</v>
      </c>
    </row>
    <row r="161" spans="1:23" s="115" customFormat="1" ht="14.45" customHeight="1" x14ac:dyDescent="0.2">
      <c r="A161" s="78" t="s">
        <v>96</v>
      </c>
      <c r="B161" s="78" t="s">
        <v>490</v>
      </c>
      <c r="C161" s="78">
        <v>0</v>
      </c>
      <c r="D161" s="78">
        <v>0</v>
      </c>
      <c r="E161" s="78">
        <v>0</v>
      </c>
      <c r="F161" s="78">
        <v>0</v>
      </c>
      <c r="G161" s="78">
        <v>0</v>
      </c>
      <c r="H161" s="78">
        <v>0</v>
      </c>
      <c r="I161" s="78">
        <v>0</v>
      </c>
      <c r="J161" s="78">
        <v>0</v>
      </c>
      <c r="K161" s="78">
        <v>0</v>
      </c>
      <c r="L161" s="78">
        <v>0</v>
      </c>
      <c r="M161" s="78">
        <v>0</v>
      </c>
      <c r="N161" s="78">
        <v>0</v>
      </c>
      <c r="O161" s="78">
        <v>0</v>
      </c>
      <c r="P161" s="78">
        <v>0</v>
      </c>
      <c r="Q161" s="78">
        <v>0</v>
      </c>
      <c r="R161" s="78">
        <v>0</v>
      </c>
      <c r="S161" s="78">
        <v>0</v>
      </c>
      <c r="T161" s="78">
        <v>954</v>
      </c>
      <c r="U161" s="112">
        <v>0</v>
      </c>
      <c r="V161" s="112">
        <v>0</v>
      </c>
      <c r="W161" s="78" t="s">
        <v>97</v>
      </c>
    </row>
    <row r="162" spans="1:23" s="115" customFormat="1" ht="14.45" customHeight="1" x14ac:dyDescent="0.2">
      <c r="A162" s="78" t="s">
        <v>376</v>
      </c>
      <c r="B162" s="78" t="s">
        <v>487</v>
      </c>
      <c r="C162" s="78">
        <v>37460</v>
      </c>
      <c r="D162" s="78">
        <v>3325</v>
      </c>
      <c r="E162" s="78">
        <v>4594</v>
      </c>
      <c r="F162" s="78">
        <v>2635</v>
      </c>
      <c r="G162" s="78">
        <v>10554</v>
      </c>
      <c r="H162" s="78">
        <v>8820</v>
      </c>
      <c r="I162" s="78">
        <v>723</v>
      </c>
      <c r="J162" s="78">
        <v>0</v>
      </c>
      <c r="K162" s="78">
        <v>20097</v>
      </c>
      <c r="L162" s="78">
        <v>3353</v>
      </c>
      <c r="M162" s="78">
        <v>4713</v>
      </c>
      <c r="N162" s="78">
        <v>2267</v>
      </c>
      <c r="O162" s="78">
        <v>10333</v>
      </c>
      <c r="P162" s="78">
        <v>6172</v>
      </c>
      <c r="Q162" s="78">
        <v>858</v>
      </c>
      <c r="R162" s="78">
        <v>0</v>
      </c>
      <c r="S162" s="78">
        <v>17363</v>
      </c>
      <c r="T162" s="78">
        <v>37460</v>
      </c>
      <c r="U162" s="112">
        <v>1</v>
      </c>
      <c r="V162" s="112">
        <v>1</v>
      </c>
      <c r="W162" s="78" t="s">
        <v>87</v>
      </c>
    </row>
    <row r="163" spans="1:23" s="115" customFormat="1" ht="14.45" customHeight="1" x14ac:dyDescent="0.2">
      <c r="A163" s="78" t="s">
        <v>376</v>
      </c>
      <c r="B163" s="78" t="s">
        <v>492</v>
      </c>
      <c r="C163" s="78">
        <v>0</v>
      </c>
      <c r="D163" s="78">
        <v>0</v>
      </c>
      <c r="E163" s="78">
        <v>0</v>
      </c>
      <c r="F163" s="78">
        <v>0</v>
      </c>
      <c r="G163" s="78">
        <v>0</v>
      </c>
      <c r="H163" s="78">
        <v>0</v>
      </c>
      <c r="I163" s="78">
        <v>0</v>
      </c>
      <c r="J163" s="78">
        <v>0</v>
      </c>
      <c r="K163" s="78">
        <v>0</v>
      </c>
      <c r="L163" s="78">
        <v>0</v>
      </c>
      <c r="M163" s="78">
        <v>0</v>
      </c>
      <c r="N163" s="78">
        <v>0</v>
      </c>
      <c r="O163" s="78">
        <v>0</v>
      </c>
      <c r="P163" s="78">
        <v>0</v>
      </c>
      <c r="Q163" s="78">
        <v>0</v>
      </c>
      <c r="R163" s="78">
        <v>0</v>
      </c>
      <c r="S163" s="78">
        <v>0</v>
      </c>
      <c r="T163" s="78">
        <v>27</v>
      </c>
      <c r="U163" s="112">
        <v>0</v>
      </c>
      <c r="V163" s="112">
        <v>0</v>
      </c>
      <c r="W163" s="78" t="s">
        <v>87</v>
      </c>
    </row>
    <row r="164" spans="1:23" s="115" customFormat="1" ht="14.45" customHeight="1" x14ac:dyDescent="0.2">
      <c r="A164" s="78" t="s">
        <v>376</v>
      </c>
      <c r="B164" s="78" t="s">
        <v>486</v>
      </c>
      <c r="C164" s="78">
        <v>2370</v>
      </c>
      <c r="D164" s="78">
        <v>73</v>
      </c>
      <c r="E164" s="78">
        <v>183</v>
      </c>
      <c r="F164" s="78">
        <v>151</v>
      </c>
      <c r="G164" s="78">
        <v>407</v>
      </c>
      <c r="H164" s="78">
        <v>702</v>
      </c>
      <c r="I164" s="78">
        <v>56</v>
      </c>
      <c r="J164" s="78">
        <v>0</v>
      </c>
      <c r="K164" s="78">
        <v>1165</v>
      </c>
      <c r="L164" s="78">
        <v>76</v>
      </c>
      <c r="M164" s="78">
        <v>162</v>
      </c>
      <c r="N164" s="78">
        <v>163</v>
      </c>
      <c r="O164" s="78">
        <v>401</v>
      </c>
      <c r="P164" s="78">
        <v>755</v>
      </c>
      <c r="Q164" s="78">
        <v>49</v>
      </c>
      <c r="R164" s="78">
        <v>0</v>
      </c>
      <c r="S164" s="78">
        <v>1205</v>
      </c>
      <c r="T164" s="78">
        <v>2370</v>
      </c>
      <c r="U164" s="112">
        <v>1</v>
      </c>
      <c r="V164" s="112">
        <v>1</v>
      </c>
      <c r="W164" s="78" t="s">
        <v>87</v>
      </c>
    </row>
    <row r="165" spans="1:23" s="115" customFormat="1" ht="14.45" customHeight="1" x14ac:dyDescent="0.2">
      <c r="A165" s="78" t="s">
        <v>376</v>
      </c>
      <c r="B165" s="78" t="s">
        <v>490</v>
      </c>
      <c r="C165" s="78">
        <v>930978</v>
      </c>
      <c r="D165" s="78">
        <v>112907</v>
      </c>
      <c r="E165" s="78">
        <v>82371</v>
      </c>
      <c r="F165" s="78">
        <v>51153</v>
      </c>
      <c r="G165" s="78">
        <v>246431</v>
      </c>
      <c r="H165" s="78">
        <v>236210</v>
      </c>
      <c r="I165" s="78">
        <v>15749</v>
      </c>
      <c r="J165" s="78">
        <v>0</v>
      </c>
      <c r="K165" s="78">
        <v>498390</v>
      </c>
      <c r="L165" s="78">
        <v>115649</v>
      </c>
      <c r="M165" s="78">
        <v>97861</v>
      </c>
      <c r="N165" s="78">
        <v>45335</v>
      </c>
      <c r="O165" s="78">
        <v>258845</v>
      </c>
      <c r="P165" s="78">
        <v>152659</v>
      </c>
      <c r="Q165" s="78">
        <v>21084</v>
      </c>
      <c r="R165" s="78">
        <v>0</v>
      </c>
      <c r="S165" s="78">
        <v>432588</v>
      </c>
      <c r="T165" s="78">
        <v>930978</v>
      </c>
      <c r="U165" s="112">
        <v>1</v>
      </c>
      <c r="V165" s="112">
        <v>1</v>
      </c>
      <c r="W165" s="78" t="s">
        <v>87</v>
      </c>
    </row>
    <row r="166" spans="1:23" s="115" customFormat="1" ht="14.45" customHeight="1" x14ac:dyDescent="0.2">
      <c r="A166" s="78" t="s">
        <v>379</v>
      </c>
      <c r="B166" s="78" t="s">
        <v>487</v>
      </c>
      <c r="C166" s="78">
        <v>3106</v>
      </c>
      <c r="D166" s="78">
        <v>245</v>
      </c>
      <c r="E166" s="78">
        <v>347</v>
      </c>
      <c r="F166" s="78">
        <v>186</v>
      </c>
      <c r="G166" s="78">
        <v>778</v>
      </c>
      <c r="H166" s="78">
        <v>691</v>
      </c>
      <c r="I166" s="78">
        <v>16</v>
      </c>
      <c r="J166" s="78">
        <v>0</v>
      </c>
      <c r="K166" s="78">
        <v>1485</v>
      </c>
      <c r="L166" s="78">
        <v>257</v>
      </c>
      <c r="M166" s="78">
        <v>378</v>
      </c>
      <c r="N166" s="78">
        <v>181</v>
      </c>
      <c r="O166" s="78">
        <v>816</v>
      </c>
      <c r="P166" s="78">
        <v>779</v>
      </c>
      <c r="Q166" s="78">
        <v>26</v>
      </c>
      <c r="R166" s="78">
        <v>0</v>
      </c>
      <c r="S166" s="78">
        <v>1621</v>
      </c>
      <c r="T166" s="78">
        <v>3106</v>
      </c>
      <c r="U166" s="112">
        <v>1</v>
      </c>
      <c r="V166" s="112">
        <v>1</v>
      </c>
      <c r="W166" s="78" t="s">
        <v>98</v>
      </c>
    </row>
    <row r="167" spans="1:23" s="115" customFormat="1" ht="14.45" customHeight="1" x14ac:dyDescent="0.2">
      <c r="A167" s="78" t="s">
        <v>379</v>
      </c>
      <c r="B167" s="78" t="s">
        <v>493</v>
      </c>
      <c r="C167" s="78">
        <v>0</v>
      </c>
      <c r="D167" s="78">
        <v>0</v>
      </c>
      <c r="E167" s="78">
        <v>0</v>
      </c>
      <c r="F167" s="78">
        <v>0</v>
      </c>
      <c r="G167" s="78">
        <v>0</v>
      </c>
      <c r="H167" s="78">
        <v>0</v>
      </c>
      <c r="I167" s="78">
        <v>0</v>
      </c>
      <c r="J167" s="78">
        <v>0</v>
      </c>
      <c r="K167" s="78">
        <v>0</v>
      </c>
      <c r="L167" s="78">
        <v>0</v>
      </c>
      <c r="M167" s="78">
        <v>0</v>
      </c>
      <c r="N167" s="78">
        <v>0</v>
      </c>
      <c r="O167" s="78">
        <v>0</v>
      </c>
      <c r="P167" s="78">
        <v>0</v>
      </c>
      <c r="Q167" s="78">
        <v>0</v>
      </c>
      <c r="R167" s="78">
        <v>0</v>
      </c>
      <c r="S167" s="78">
        <v>0</v>
      </c>
      <c r="T167" s="78">
        <v>1833092</v>
      </c>
      <c r="U167" s="112">
        <v>0</v>
      </c>
      <c r="V167" s="112">
        <v>0</v>
      </c>
      <c r="W167" s="78" t="s">
        <v>98</v>
      </c>
    </row>
    <row r="168" spans="1:23" s="115" customFormat="1" ht="14.45" customHeight="1" x14ac:dyDescent="0.2">
      <c r="A168" s="78" t="s">
        <v>379</v>
      </c>
      <c r="B168" s="78" t="s">
        <v>489</v>
      </c>
      <c r="C168" s="78">
        <v>0</v>
      </c>
      <c r="D168" s="78">
        <v>0</v>
      </c>
      <c r="E168" s="78">
        <v>0</v>
      </c>
      <c r="F168" s="78">
        <v>0</v>
      </c>
      <c r="G168" s="78">
        <v>0</v>
      </c>
      <c r="H168" s="78">
        <v>0</v>
      </c>
      <c r="I168" s="78">
        <v>0</v>
      </c>
      <c r="J168" s="78">
        <v>0</v>
      </c>
      <c r="K168" s="78">
        <v>0</v>
      </c>
      <c r="L168" s="78">
        <v>0</v>
      </c>
      <c r="M168" s="78">
        <v>0</v>
      </c>
      <c r="N168" s="78">
        <v>0</v>
      </c>
      <c r="O168" s="78">
        <v>0</v>
      </c>
      <c r="P168" s="78">
        <v>0</v>
      </c>
      <c r="Q168" s="78">
        <v>0</v>
      </c>
      <c r="R168" s="78">
        <v>0</v>
      </c>
      <c r="S168" s="78">
        <v>0</v>
      </c>
      <c r="T168" s="78">
        <v>6251790</v>
      </c>
      <c r="U168" s="112">
        <v>0</v>
      </c>
      <c r="V168" s="112">
        <v>0</v>
      </c>
      <c r="W168" s="78" t="s">
        <v>98</v>
      </c>
    </row>
    <row r="169" spans="1:23" s="115" customFormat="1" ht="14.45" customHeight="1" x14ac:dyDescent="0.2">
      <c r="A169" s="78" t="s">
        <v>379</v>
      </c>
      <c r="B169" s="78" t="s">
        <v>491</v>
      </c>
      <c r="C169" s="78">
        <v>61</v>
      </c>
      <c r="D169" s="78">
        <v>7</v>
      </c>
      <c r="E169" s="78">
        <v>6</v>
      </c>
      <c r="F169" s="78">
        <v>0</v>
      </c>
      <c r="G169" s="78">
        <v>13</v>
      </c>
      <c r="H169" s="78">
        <v>37</v>
      </c>
      <c r="I169" s="78">
        <v>0</v>
      </c>
      <c r="J169" s="78">
        <v>0</v>
      </c>
      <c r="K169" s="78">
        <v>50</v>
      </c>
      <c r="L169" s="78">
        <v>0</v>
      </c>
      <c r="M169" s="78">
        <v>0</v>
      </c>
      <c r="N169" s="78">
        <v>0</v>
      </c>
      <c r="O169" s="78">
        <v>0</v>
      </c>
      <c r="P169" s="78">
        <v>11</v>
      </c>
      <c r="Q169" s="78">
        <v>0</v>
      </c>
      <c r="R169" s="78">
        <v>0</v>
      </c>
      <c r="S169" s="78">
        <v>11</v>
      </c>
      <c r="T169" s="78">
        <v>61</v>
      </c>
      <c r="U169" s="112">
        <v>1</v>
      </c>
      <c r="V169" s="112">
        <v>1</v>
      </c>
      <c r="W169" s="78" t="s">
        <v>98</v>
      </c>
    </row>
    <row r="170" spans="1:23" s="115" customFormat="1" ht="14.45" customHeight="1" x14ac:dyDescent="0.2">
      <c r="A170" s="78" t="s">
        <v>379</v>
      </c>
      <c r="B170" s="78" t="s">
        <v>492</v>
      </c>
      <c r="C170" s="78">
        <v>1798</v>
      </c>
      <c r="D170" s="78">
        <v>206</v>
      </c>
      <c r="E170" s="78">
        <v>218</v>
      </c>
      <c r="F170" s="78">
        <v>112</v>
      </c>
      <c r="G170" s="78">
        <v>536</v>
      </c>
      <c r="H170" s="78">
        <v>377</v>
      </c>
      <c r="I170" s="78">
        <v>15</v>
      </c>
      <c r="J170" s="78">
        <v>0</v>
      </c>
      <c r="K170" s="78">
        <v>928</v>
      </c>
      <c r="L170" s="78">
        <v>207</v>
      </c>
      <c r="M170" s="78">
        <v>193</v>
      </c>
      <c r="N170" s="78">
        <v>118</v>
      </c>
      <c r="O170" s="78">
        <v>518</v>
      </c>
      <c r="P170" s="78">
        <v>329</v>
      </c>
      <c r="Q170" s="78">
        <v>23</v>
      </c>
      <c r="R170" s="78">
        <v>0</v>
      </c>
      <c r="S170" s="78">
        <v>870</v>
      </c>
      <c r="T170" s="78">
        <v>1808</v>
      </c>
      <c r="U170" s="112">
        <v>0.99446902654867297</v>
      </c>
      <c r="V170" s="112">
        <v>0.99446902654867297</v>
      </c>
      <c r="W170" s="78" t="s">
        <v>98</v>
      </c>
    </row>
    <row r="171" spans="1:23" s="115" customFormat="1" ht="14.45" customHeight="1" x14ac:dyDescent="0.2">
      <c r="A171" s="78" t="s">
        <v>379</v>
      </c>
      <c r="B171" s="78" t="s">
        <v>486</v>
      </c>
      <c r="C171" s="78">
        <v>523392</v>
      </c>
      <c r="D171" s="78">
        <v>30016</v>
      </c>
      <c r="E171" s="78">
        <v>67791</v>
      </c>
      <c r="F171" s="78">
        <v>50021</v>
      </c>
      <c r="G171" s="78">
        <v>147828</v>
      </c>
      <c r="H171" s="78">
        <v>116043</v>
      </c>
      <c r="I171" s="78">
        <v>9576</v>
      </c>
      <c r="J171" s="78">
        <v>0</v>
      </c>
      <c r="K171" s="78">
        <v>273447</v>
      </c>
      <c r="L171" s="78">
        <v>30399</v>
      </c>
      <c r="M171" s="78">
        <v>69160</v>
      </c>
      <c r="N171" s="78">
        <v>50210</v>
      </c>
      <c r="O171" s="78">
        <v>149769</v>
      </c>
      <c r="P171" s="78">
        <v>91540</v>
      </c>
      <c r="Q171" s="78">
        <v>8636</v>
      </c>
      <c r="R171" s="78">
        <v>0</v>
      </c>
      <c r="S171" s="78">
        <v>249945</v>
      </c>
      <c r="T171" s="78">
        <v>523392</v>
      </c>
      <c r="U171" s="112">
        <v>1</v>
      </c>
      <c r="V171" s="112">
        <v>1</v>
      </c>
      <c r="W171" s="78" t="s">
        <v>98</v>
      </c>
    </row>
    <row r="172" spans="1:23" s="115" customFormat="1" ht="14.45" customHeight="1" x14ac:dyDescent="0.2">
      <c r="A172" s="78" t="s">
        <v>99</v>
      </c>
      <c r="B172" s="78" t="s">
        <v>487</v>
      </c>
      <c r="C172" s="78">
        <v>2255</v>
      </c>
      <c r="D172" s="78">
        <v>0</v>
      </c>
      <c r="E172" s="78">
        <v>0</v>
      </c>
      <c r="F172" s="78">
        <v>0</v>
      </c>
      <c r="G172" s="78">
        <v>0</v>
      </c>
      <c r="H172" s="78">
        <v>0</v>
      </c>
      <c r="I172" s="78">
        <v>0</v>
      </c>
      <c r="J172" s="78">
        <v>1158</v>
      </c>
      <c r="K172" s="78">
        <v>1158</v>
      </c>
      <c r="L172" s="78">
        <v>0</v>
      </c>
      <c r="M172" s="78">
        <v>0</v>
      </c>
      <c r="N172" s="78">
        <v>0</v>
      </c>
      <c r="O172" s="78">
        <v>0</v>
      </c>
      <c r="P172" s="78">
        <v>0</v>
      </c>
      <c r="Q172" s="78">
        <v>0</v>
      </c>
      <c r="R172" s="78">
        <v>1097</v>
      </c>
      <c r="S172" s="78">
        <v>1097</v>
      </c>
      <c r="T172" s="78">
        <v>2356</v>
      </c>
      <c r="U172" s="112">
        <v>0</v>
      </c>
      <c r="V172" s="112">
        <v>0.95713073005093396</v>
      </c>
      <c r="W172" s="78" t="s">
        <v>100</v>
      </c>
    </row>
    <row r="173" spans="1:23" s="115" customFormat="1" ht="14.45" customHeight="1" x14ac:dyDescent="0.2">
      <c r="A173" s="78" t="s">
        <v>99</v>
      </c>
      <c r="B173" s="78" t="s">
        <v>486</v>
      </c>
      <c r="C173" s="78">
        <v>68912</v>
      </c>
      <c r="D173" s="78">
        <v>432</v>
      </c>
      <c r="E173" s="78">
        <v>3563</v>
      </c>
      <c r="F173" s="78">
        <v>2414</v>
      </c>
      <c r="G173" s="78">
        <v>6409</v>
      </c>
      <c r="H173" s="78">
        <v>16838</v>
      </c>
      <c r="I173" s="78">
        <v>569</v>
      </c>
      <c r="J173" s="78">
        <v>0</v>
      </c>
      <c r="K173" s="78">
        <v>23816</v>
      </c>
      <c r="L173" s="78">
        <v>336</v>
      </c>
      <c r="M173" s="78">
        <v>2870</v>
      </c>
      <c r="N173" s="78">
        <v>3409</v>
      </c>
      <c r="O173" s="78">
        <v>6615</v>
      </c>
      <c r="P173" s="78">
        <v>37717</v>
      </c>
      <c r="Q173" s="78">
        <v>764</v>
      </c>
      <c r="R173" s="78">
        <v>0</v>
      </c>
      <c r="S173" s="78">
        <v>45096</v>
      </c>
      <c r="T173" s="78">
        <v>68912</v>
      </c>
      <c r="U173" s="112">
        <v>1</v>
      </c>
      <c r="V173" s="112">
        <v>1</v>
      </c>
      <c r="W173" s="78" t="s">
        <v>100</v>
      </c>
    </row>
    <row r="174" spans="1:23" s="115" customFormat="1" ht="14.45" customHeight="1" x14ac:dyDescent="0.2">
      <c r="A174" s="78" t="s">
        <v>99</v>
      </c>
      <c r="B174" s="78" t="s">
        <v>490</v>
      </c>
      <c r="C174" s="78">
        <v>0</v>
      </c>
      <c r="D174" s="78">
        <v>0</v>
      </c>
      <c r="E174" s="78">
        <v>0</v>
      </c>
      <c r="F174" s="78">
        <v>0</v>
      </c>
      <c r="G174" s="78">
        <v>0</v>
      </c>
      <c r="H174" s="78">
        <v>0</v>
      </c>
      <c r="I174" s="78">
        <v>0</v>
      </c>
      <c r="J174" s="78">
        <v>0</v>
      </c>
      <c r="K174" s="78">
        <v>0</v>
      </c>
      <c r="L174" s="78">
        <v>0</v>
      </c>
      <c r="M174" s="78">
        <v>0</v>
      </c>
      <c r="N174" s="78">
        <v>0</v>
      </c>
      <c r="O174" s="78">
        <v>0</v>
      </c>
      <c r="P174" s="78">
        <v>0</v>
      </c>
      <c r="Q174" s="78">
        <v>0</v>
      </c>
      <c r="R174" s="78">
        <v>0</v>
      </c>
      <c r="S174" s="78">
        <v>0</v>
      </c>
      <c r="T174" s="78">
        <v>5933</v>
      </c>
      <c r="U174" s="112">
        <v>0</v>
      </c>
      <c r="V174" s="112">
        <v>0</v>
      </c>
      <c r="W174" s="78" t="s">
        <v>100</v>
      </c>
    </row>
    <row r="175" spans="1:23" s="115" customFormat="1" ht="14.45" customHeight="1" x14ac:dyDescent="0.2">
      <c r="A175" s="78" t="s">
        <v>101</v>
      </c>
      <c r="B175" s="78" t="s">
        <v>487</v>
      </c>
      <c r="C175" s="78">
        <v>8442</v>
      </c>
      <c r="D175" s="78">
        <v>367</v>
      </c>
      <c r="E175" s="78">
        <v>823</v>
      </c>
      <c r="F175" s="78">
        <v>687</v>
      </c>
      <c r="G175" s="78">
        <v>1877</v>
      </c>
      <c r="H175" s="78">
        <v>2063</v>
      </c>
      <c r="I175" s="78">
        <v>118</v>
      </c>
      <c r="J175" s="78">
        <v>0</v>
      </c>
      <c r="K175" s="78">
        <v>4058</v>
      </c>
      <c r="L175" s="78">
        <v>393</v>
      </c>
      <c r="M175" s="78">
        <v>872</v>
      </c>
      <c r="N175" s="78">
        <v>743</v>
      </c>
      <c r="O175" s="78">
        <v>2008</v>
      </c>
      <c r="P175" s="78">
        <v>2292</v>
      </c>
      <c r="Q175" s="78">
        <v>84</v>
      </c>
      <c r="R175" s="78">
        <v>0</v>
      </c>
      <c r="S175" s="78">
        <v>4384</v>
      </c>
      <c r="T175" s="78">
        <v>8442</v>
      </c>
      <c r="U175" s="112">
        <v>1</v>
      </c>
      <c r="V175" s="112">
        <v>1</v>
      </c>
      <c r="W175" s="78" t="s">
        <v>102</v>
      </c>
    </row>
    <row r="176" spans="1:23" s="115" customFormat="1" ht="14.45" customHeight="1" x14ac:dyDescent="0.2">
      <c r="A176" s="78" t="s">
        <v>101</v>
      </c>
      <c r="B176" s="78" t="s">
        <v>486</v>
      </c>
      <c r="C176" s="78">
        <v>23063</v>
      </c>
      <c r="D176" s="78">
        <v>1125</v>
      </c>
      <c r="E176" s="78">
        <v>2067</v>
      </c>
      <c r="F176" s="78">
        <v>1679</v>
      </c>
      <c r="G176" s="78">
        <v>4871</v>
      </c>
      <c r="H176" s="78">
        <v>5882</v>
      </c>
      <c r="I176" s="78">
        <v>448</v>
      </c>
      <c r="J176" s="78">
        <v>0</v>
      </c>
      <c r="K176" s="78">
        <v>11201</v>
      </c>
      <c r="L176" s="78">
        <v>1137</v>
      </c>
      <c r="M176" s="78">
        <v>2179</v>
      </c>
      <c r="N176" s="78">
        <v>1743</v>
      </c>
      <c r="O176" s="78">
        <v>5059</v>
      </c>
      <c r="P176" s="78">
        <v>6283</v>
      </c>
      <c r="Q176" s="78">
        <v>520</v>
      </c>
      <c r="R176" s="78">
        <v>0</v>
      </c>
      <c r="S176" s="78">
        <v>11862</v>
      </c>
      <c r="T176" s="78">
        <v>23063</v>
      </c>
      <c r="U176" s="112">
        <v>1</v>
      </c>
      <c r="V176" s="112">
        <v>1</v>
      </c>
      <c r="W176" s="78" t="s">
        <v>102</v>
      </c>
    </row>
    <row r="177" spans="1:23" s="115" customFormat="1" ht="14.45" customHeight="1" x14ac:dyDescent="0.2">
      <c r="A177" s="78" t="s">
        <v>382</v>
      </c>
      <c r="B177" s="78" t="s">
        <v>487</v>
      </c>
      <c r="C177" s="78">
        <v>3315</v>
      </c>
      <c r="D177" s="78">
        <v>144</v>
      </c>
      <c r="E177" s="78">
        <v>175</v>
      </c>
      <c r="F177" s="78">
        <v>162</v>
      </c>
      <c r="G177" s="78">
        <v>481</v>
      </c>
      <c r="H177" s="78">
        <v>1258</v>
      </c>
      <c r="I177" s="78">
        <v>110</v>
      </c>
      <c r="J177" s="78">
        <v>0</v>
      </c>
      <c r="K177" s="78">
        <v>1849</v>
      </c>
      <c r="L177" s="78">
        <v>114</v>
      </c>
      <c r="M177" s="78">
        <v>172</v>
      </c>
      <c r="N177" s="78">
        <v>149</v>
      </c>
      <c r="O177" s="78">
        <v>435</v>
      </c>
      <c r="P177" s="78">
        <v>966</v>
      </c>
      <c r="Q177" s="78">
        <v>65</v>
      </c>
      <c r="R177" s="78">
        <v>0</v>
      </c>
      <c r="S177" s="78">
        <v>1466</v>
      </c>
      <c r="T177" s="78">
        <v>4185</v>
      </c>
      <c r="U177" s="112">
        <v>0.79211469534050205</v>
      </c>
      <c r="V177" s="112">
        <v>0.79211469534050205</v>
      </c>
      <c r="W177" s="78" t="s">
        <v>103</v>
      </c>
    </row>
    <row r="178" spans="1:23" s="115" customFormat="1" ht="14.45" customHeight="1" x14ac:dyDescent="0.2">
      <c r="A178" s="78" t="s">
        <v>382</v>
      </c>
      <c r="B178" s="78" t="s">
        <v>488</v>
      </c>
      <c r="C178" s="78">
        <v>0</v>
      </c>
      <c r="D178" s="78">
        <v>0</v>
      </c>
      <c r="E178" s="78">
        <v>0</v>
      </c>
      <c r="F178" s="78">
        <v>0</v>
      </c>
      <c r="G178" s="78">
        <v>0</v>
      </c>
      <c r="H178" s="78">
        <v>0</v>
      </c>
      <c r="I178" s="78">
        <v>0</v>
      </c>
      <c r="J178" s="78">
        <v>0</v>
      </c>
      <c r="K178" s="78">
        <v>0</v>
      </c>
      <c r="L178" s="78">
        <v>0</v>
      </c>
      <c r="M178" s="78">
        <v>0</v>
      </c>
      <c r="N178" s="78">
        <v>0</v>
      </c>
      <c r="O178" s="78">
        <v>0</v>
      </c>
      <c r="P178" s="78">
        <v>0</v>
      </c>
      <c r="Q178" s="78">
        <v>0</v>
      </c>
      <c r="R178" s="78">
        <v>0</v>
      </c>
      <c r="S178" s="78">
        <v>0</v>
      </c>
      <c r="T178" s="78">
        <v>121841</v>
      </c>
      <c r="U178" s="112">
        <v>0</v>
      </c>
      <c r="V178" s="112">
        <v>0</v>
      </c>
      <c r="W178" s="78" t="s">
        <v>103</v>
      </c>
    </row>
    <row r="179" spans="1:23" s="115" customFormat="1" ht="14.45" customHeight="1" x14ac:dyDescent="0.2">
      <c r="A179" s="78" t="s">
        <v>382</v>
      </c>
      <c r="B179" s="78" t="s">
        <v>486</v>
      </c>
      <c r="C179" s="78">
        <v>778</v>
      </c>
      <c r="D179" s="78">
        <v>22</v>
      </c>
      <c r="E179" s="78">
        <v>44</v>
      </c>
      <c r="F179" s="78">
        <v>26</v>
      </c>
      <c r="G179" s="78">
        <v>92</v>
      </c>
      <c r="H179" s="78">
        <v>265</v>
      </c>
      <c r="I179" s="78">
        <v>43</v>
      </c>
      <c r="J179" s="78">
        <v>0</v>
      </c>
      <c r="K179" s="78">
        <v>400</v>
      </c>
      <c r="L179" s="78">
        <v>31</v>
      </c>
      <c r="M179" s="78">
        <v>37</v>
      </c>
      <c r="N179" s="78">
        <v>17</v>
      </c>
      <c r="O179" s="78">
        <v>85</v>
      </c>
      <c r="P179" s="78">
        <v>244</v>
      </c>
      <c r="Q179" s="78">
        <v>49</v>
      </c>
      <c r="R179" s="78">
        <v>0</v>
      </c>
      <c r="S179" s="78">
        <v>378</v>
      </c>
      <c r="T179" s="78">
        <v>778</v>
      </c>
      <c r="U179" s="112">
        <v>1</v>
      </c>
      <c r="V179" s="112">
        <v>1</v>
      </c>
      <c r="W179" s="78" t="s">
        <v>103</v>
      </c>
    </row>
    <row r="180" spans="1:23" s="115" customFormat="1" ht="14.45" customHeight="1" x14ac:dyDescent="0.2">
      <c r="A180" s="78" t="s">
        <v>104</v>
      </c>
      <c r="B180" s="78" t="s">
        <v>487</v>
      </c>
      <c r="C180" s="78">
        <v>7700</v>
      </c>
      <c r="D180" s="78">
        <v>85</v>
      </c>
      <c r="E180" s="78">
        <v>384</v>
      </c>
      <c r="F180" s="78">
        <v>492</v>
      </c>
      <c r="G180" s="78">
        <v>961</v>
      </c>
      <c r="H180" s="78">
        <v>2636</v>
      </c>
      <c r="I180" s="78">
        <v>152</v>
      </c>
      <c r="J180" s="78">
        <v>0</v>
      </c>
      <c r="K180" s="78">
        <v>3749</v>
      </c>
      <c r="L180" s="78">
        <v>99</v>
      </c>
      <c r="M180" s="78">
        <v>426</v>
      </c>
      <c r="N180" s="78">
        <v>470</v>
      </c>
      <c r="O180" s="78">
        <v>995</v>
      </c>
      <c r="P180" s="78">
        <v>2812</v>
      </c>
      <c r="Q180" s="78">
        <v>144</v>
      </c>
      <c r="R180" s="78">
        <v>0</v>
      </c>
      <c r="S180" s="78">
        <v>3951</v>
      </c>
      <c r="T180" s="78">
        <v>7700</v>
      </c>
      <c r="U180" s="112">
        <v>1</v>
      </c>
      <c r="V180" s="112">
        <v>1</v>
      </c>
      <c r="W180" s="78" t="s">
        <v>105</v>
      </c>
    </row>
    <row r="181" spans="1:23" s="115" customFormat="1" ht="14.45" customHeight="1" x14ac:dyDescent="0.2">
      <c r="A181" s="78" t="s">
        <v>104</v>
      </c>
      <c r="B181" s="78" t="s">
        <v>488</v>
      </c>
      <c r="C181" s="78">
        <v>469441</v>
      </c>
      <c r="D181" s="78">
        <v>0</v>
      </c>
      <c r="E181" s="78">
        <v>0</v>
      </c>
      <c r="F181" s="78">
        <v>0</v>
      </c>
      <c r="G181" s="78">
        <v>0</v>
      </c>
      <c r="H181" s="78">
        <v>0</v>
      </c>
      <c r="I181" s="78">
        <v>0</v>
      </c>
      <c r="J181" s="78">
        <v>252932</v>
      </c>
      <c r="K181" s="78">
        <v>252932</v>
      </c>
      <c r="L181" s="78">
        <v>0</v>
      </c>
      <c r="M181" s="78">
        <v>0</v>
      </c>
      <c r="N181" s="78">
        <v>0</v>
      </c>
      <c r="O181" s="78">
        <v>0</v>
      </c>
      <c r="P181" s="78">
        <v>0</v>
      </c>
      <c r="Q181" s="78">
        <v>0</v>
      </c>
      <c r="R181" s="78">
        <v>216509</v>
      </c>
      <c r="S181" s="78">
        <v>216509</v>
      </c>
      <c r="T181" s="78">
        <v>469441</v>
      </c>
      <c r="U181" s="112">
        <v>0</v>
      </c>
      <c r="V181" s="112">
        <v>1</v>
      </c>
      <c r="W181" s="78" t="s">
        <v>105</v>
      </c>
    </row>
    <row r="182" spans="1:23" s="115" customFormat="1" ht="14.45" customHeight="1" x14ac:dyDescent="0.2">
      <c r="A182" s="78" t="s">
        <v>104</v>
      </c>
      <c r="B182" s="78" t="s">
        <v>486</v>
      </c>
      <c r="C182" s="78">
        <v>62899</v>
      </c>
      <c r="D182" s="78">
        <v>277</v>
      </c>
      <c r="E182" s="78">
        <v>1906</v>
      </c>
      <c r="F182" s="78">
        <v>4213</v>
      </c>
      <c r="G182" s="78">
        <v>6396</v>
      </c>
      <c r="H182" s="78">
        <v>20511</v>
      </c>
      <c r="I182" s="78">
        <v>3021</v>
      </c>
      <c r="J182" s="78">
        <v>0</v>
      </c>
      <c r="K182" s="78">
        <v>29928</v>
      </c>
      <c r="L182" s="78">
        <v>243</v>
      </c>
      <c r="M182" s="78">
        <v>2003</v>
      </c>
      <c r="N182" s="78">
        <v>4219</v>
      </c>
      <c r="O182" s="78">
        <v>6465</v>
      </c>
      <c r="P182" s="78">
        <v>22484</v>
      </c>
      <c r="Q182" s="78">
        <v>4022</v>
      </c>
      <c r="R182" s="78">
        <v>0</v>
      </c>
      <c r="S182" s="78">
        <v>32971</v>
      </c>
      <c r="T182" s="78">
        <v>62899</v>
      </c>
      <c r="U182" s="112">
        <v>1</v>
      </c>
      <c r="V182" s="112">
        <v>1</v>
      </c>
      <c r="W182" s="78" t="s">
        <v>105</v>
      </c>
    </row>
    <row r="183" spans="1:23" s="115" customFormat="1" ht="14.45" customHeight="1" x14ac:dyDescent="0.2">
      <c r="A183" s="78" t="s">
        <v>106</v>
      </c>
      <c r="B183" s="78" t="s">
        <v>487</v>
      </c>
      <c r="C183" s="78">
        <v>232244</v>
      </c>
      <c r="D183" s="78">
        <v>11774</v>
      </c>
      <c r="E183" s="78">
        <v>18026</v>
      </c>
      <c r="F183" s="78">
        <v>15120</v>
      </c>
      <c r="G183" s="78">
        <v>44920</v>
      </c>
      <c r="H183" s="78">
        <v>72601</v>
      </c>
      <c r="I183" s="78">
        <v>5364</v>
      </c>
      <c r="J183" s="78">
        <v>0</v>
      </c>
      <c r="K183" s="78">
        <v>122885</v>
      </c>
      <c r="L183" s="78">
        <v>12278</v>
      </c>
      <c r="M183" s="78">
        <v>18429</v>
      </c>
      <c r="N183" s="78">
        <v>15541</v>
      </c>
      <c r="O183" s="78">
        <v>46248</v>
      </c>
      <c r="P183" s="78">
        <v>58422</v>
      </c>
      <c r="Q183" s="78">
        <v>4689</v>
      </c>
      <c r="R183" s="78">
        <v>0</v>
      </c>
      <c r="S183" s="78">
        <v>109359</v>
      </c>
      <c r="T183" s="78">
        <v>232244</v>
      </c>
      <c r="U183" s="112">
        <v>1</v>
      </c>
      <c r="V183" s="112">
        <v>1</v>
      </c>
      <c r="W183" s="78" t="s">
        <v>107</v>
      </c>
    </row>
    <row r="184" spans="1:23" s="115" customFormat="1" ht="14.45" customHeight="1" x14ac:dyDescent="0.2">
      <c r="A184" s="78" t="s">
        <v>106</v>
      </c>
      <c r="B184" s="78" t="s">
        <v>486</v>
      </c>
      <c r="C184" s="78">
        <v>240507</v>
      </c>
      <c r="D184" s="78">
        <v>9909</v>
      </c>
      <c r="E184" s="78">
        <v>18001</v>
      </c>
      <c r="F184" s="78">
        <v>15502</v>
      </c>
      <c r="G184" s="78">
        <v>43412</v>
      </c>
      <c r="H184" s="78">
        <v>65888</v>
      </c>
      <c r="I184" s="78">
        <v>5335</v>
      </c>
      <c r="J184" s="78">
        <v>0</v>
      </c>
      <c r="K184" s="78">
        <v>114635</v>
      </c>
      <c r="L184" s="78">
        <v>10372</v>
      </c>
      <c r="M184" s="78">
        <v>19133</v>
      </c>
      <c r="N184" s="78">
        <v>16622</v>
      </c>
      <c r="O184" s="78">
        <v>46127</v>
      </c>
      <c r="P184" s="78">
        <v>74603</v>
      </c>
      <c r="Q184" s="78">
        <v>5142</v>
      </c>
      <c r="R184" s="78">
        <v>0</v>
      </c>
      <c r="S184" s="78">
        <v>125872</v>
      </c>
      <c r="T184" s="78">
        <v>240507</v>
      </c>
      <c r="U184" s="112">
        <v>1</v>
      </c>
      <c r="V184" s="112">
        <v>1</v>
      </c>
      <c r="W184" s="78" t="s">
        <v>107</v>
      </c>
    </row>
    <row r="185" spans="1:23" s="115" customFormat="1" ht="14.45" customHeight="1" x14ac:dyDescent="0.2">
      <c r="A185" s="78" t="s">
        <v>106</v>
      </c>
      <c r="B185" s="78" t="s">
        <v>490</v>
      </c>
      <c r="C185" s="78">
        <v>5</v>
      </c>
      <c r="D185" s="78">
        <v>0</v>
      </c>
      <c r="E185" s="78">
        <v>0</v>
      </c>
      <c r="F185" s="78">
        <v>0</v>
      </c>
      <c r="G185" s="78">
        <v>0</v>
      </c>
      <c r="H185" s="78">
        <v>0</v>
      </c>
      <c r="I185" s="78">
        <v>0</v>
      </c>
      <c r="J185" s="78">
        <v>0</v>
      </c>
      <c r="K185" s="78">
        <v>0</v>
      </c>
      <c r="L185" s="78">
        <v>0</v>
      </c>
      <c r="M185" s="78">
        <v>0</v>
      </c>
      <c r="N185" s="78">
        <v>0</v>
      </c>
      <c r="O185" s="78">
        <v>0</v>
      </c>
      <c r="P185" s="78">
        <v>5</v>
      </c>
      <c r="Q185" s="78">
        <v>0</v>
      </c>
      <c r="R185" s="78">
        <v>0</v>
      </c>
      <c r="S185" s="78">
        <v>5</v>
      </c>
      <c r="T185" s="78">
        <v>5</v>
      </c>
      <c r="U185" s="112">
        <v>1</v>
      </c>
      <c r="V185" s="112">
        <v>1</v>
      </c>
      <c r="W185" s="78" t="s">
        <v>107</v>
      </c>
    </row>
    <row r="186" spans="1:23" s="115" customFormat="1" ht="14.45" customHeight="1" x14ac:dyDescent="0.2">
      <c r="A186" s="78" t="s">
        <v>108</v>
      </c>
      <c r="B186" s="78" t="s">
        <v>487</v>
      </c>
      <c r="C186" s="78">
        <v>263</v>
      </c>
      <c r="D186" s="78">
        <v>19</v>
      </c>
      <c r="E186" s="78">
        <v>18</v>
      </c>
      <c r="F186" s="78">
        <v>0</v>
      </c>
      <c r="G186" s="78">
        <v>37</v>
      </c>
      <c r="H186" s="78">
        <v>79</v>
      </c>
      <c r="I186" s="78">
        <v>0</v>
      </c>
      <c r="J186" s="78">
        <v>0</v>
      </c>
      <c r="K186" s="78">
        <v>116</v>
      </c>
      <c r="L186" s="78">
        <v>5</v>
      </c>
      <c r="M186" s="78">
        <v>14</v>
      </c>
      <c r="N186" s="78">
        <v>18</v>
      </c>
      <c r="O186" s="78">
        <v>37</v>
      </c>
      <c r="P186" s="78">
        <v>110</v>
      </c>
      <c r="Q186" s="78">
        <v>0</v>
      </c>
      <c r="R186" s="78">
        <v>0</v>
      </c>
      <c r="S186" s="78">
        <v>147</v>
      </c>
      <c r="T186" s="78">
        <v>263</v>
      </c>
      <c r="U186" s="112">
        <v>1</v>
      </c>
      <c r="V186" s="112">
        <v>1</v>
      </c>
      <c r="W186" s="78" t="s">
        <v>109</v>
      </c>
    </row>
    <row r="187" spans="1:23" s="115" customFormat="1" ht="14.45" customHeight="1" x14ac:dyDescent="0.2">
      <c r="A187" s="78" t="s">
        <v>108</v>
      </c>
      <c r="B187" s="78" t="s">
        <v>489</v>
      </c>
      <c r="C187" s="78">
        <v>71500</v>
      </c>
      <c r="D187" s="78">
        <v>0</v>
      </c>
      <c r="E187" s="78">
        <v>0</v>
      </c>
      <c r="F187" s="78">
        <v>0</v>
      </c>
      <c r="G187" s="78">
        <v>0</v>
      </c>
      <c r="H187" s="78">
        <v>0</v>
      </c>
      <c r="I187" s="78">
        <v>0</v>
      </c>
      <c r="J187" s="78">
        <v>38451</v>
      </c>
      <c r="K187" s="78">
        <v>38451</v>
      </c>
      <c r="L187" s="78">
        <v>0</v>
      </c>
      <c r="M187" s="78">
        <v>0</v>
      </c>
      <c r="N187" s="78">
        <v>0</v>
      </c>
      <c r="O187" s="78">
        <v>0</v>
      </c>
      <c r="P187" s="78">
        <v>0</v>
      </c>
      <c r="Q187" s="78">
        <v>0</v>
      </c>
      <c r="R187" s="78">
        <v>33049</v>
      </c>
      <c r="S187" s="78">
        <v>33049</v>
      </c>
      <c r="T187" s="78">
        <v>71500</v>
      </c>
      <c r="U187" s="112">
        <v>0</v>
      </c>
      <c r="V187" s="112">
        <v>1</v>
      </c>
      <c r="W187" s="78" t="s">
        <v>109</v>
      </c>
    </row>
    <row r="188" spans="1:23" s="115" customFormat="1" ht="14.45" customHeight="1" x14ac:dyDescent="0.2">
      <c r="A188" s="78" t="s">
        <v>108</v>
      </c>
      <c r="B188" s="78" t="s">
        <v>491</v>
      </c>
      <c r="C188" s="78">
        <v>118591</v>
      </c>
      <c r="D188" s="78">
        <v>0</v>
      </c>
      <c r="E188" s="78">
        <v>0</v>
      </c>
      <c r="F188" s="78">
        <v>0</v>
      </c>
      <c r="G188" s="78">
        <v>0</v>
      </c>
      <c r="H188" s="78">
        <v>0</v>
      </c>
      <c r="I188" s="78">
        <v>0</v>
      </c>
      <c r="J188" s="78">
        <v>62853</v>
      </c>
      <c r="K188" s="78">
        <v>62853</v>
      </c>
      <c r="L188" s="78">
        <v>0</v>
      </c>
      <c r="M188" s="78">
        <v>0</v>
      </c>
      <c r="N188" s="78">
        <v>0</v>
      </c>
      <c r="O188" s="78">
        <v>0</v>
      </c>
      <c r="P188" s="78">
        <v>0</v>
      </c>
      <c r="Q188" s="78">
        <v>0</v>
      </c>
      <c r="R188" s="78">
        <v>55738</v>
      </c>
      <c r="S188" s="78">
        <v>55738</v>
      </c>
      <c r="T188" s="78">
        <v>118591</v>
      </c>
      <c r="U188" s="112">
        <v>0</v>
      </c>
      <c r="V188" s="112">
        <v>1</v>
      </c>
      <c r="W188" s="78" t="s">
        <v>109</v>
      </c>
    </row>
    <row r="189" spans="1:23" s="115" customFormat="1" ht="14.45" customHeight="1" x14ac:dyDescent="0.2">
      <c r="A189" s="78" t="s">
        <v>108</v>
      </c>
      <c r="B189" s="78" t="s">
        <v>486</v>
      </c>
      <c r="C189" s="78">
        <v>106</v>
      </c>
      <c r="D189" s="78">
        <v>6</v>
      </c>
      <c r="E189" s="78">
        <v>5</v>
      </c>
      <c r="F189" s="78">
        <v>10</v>
      </c>
      <c r="G189" s="78">
        <v>21</v>
      </c>
      <c r="H189" s="78">
        <v>25</v>
      </c>
      <c r="I189" s="78">
        <v>0</v>
      </c>
      <c r="J189" s="78">
        <v>0</v>
      </c>
      <c r="K189" s="78">
        <v>46</v>
      </c>
      <c r="L189" s="78">
        <v>0</v>
      </c>
      <c r="M189" s="78">
        <v>9</v>
      </c>
      <c r="N189" s="78">
        <v>9</v>
      </c>
      <c r="O189" s="78">
        <v>18</v>
      </c>
      <c r="P189" s="78">
        <v>42</v>
      </c>
      <c r="Q189" s="78">
        <v>0</v>
      </c>
      <c r="R189" s="78">
        <v>0</v>
      </c>
      <c r="S189" s="78">
        <v>60</v>
      </c>
      <c r="T189" s="78">
        <v>106</v>
      </c>
      <c r="U189" s="112">
        <v>1</v>
      </c>
      <c r="V189" s="112">
        <v>1</v>
      </c>
      <c r="W189" s="78" t="s">
        <v>109</v>
      </c>
    </row>
    <row r="190" spans="1:23" s="115" customFormat="1" ht="14.45" customHeight="1" x14ac:dyDescent="0.2">
      <c r="A190" s="78" t="s">
        <v>110</v>
      </c>
      <c r="B190" s="78" t="s">
        <v>491</v>
      </c>
      <c r="C190" s="78">
        <v>18</v>
      </c>
      <c r="D190" s="78">
        <v>0</v>
      </c>
      <c r="E190" s="78">
        <v>0</v>
      </c>
      <c r="F190" s="78">
        <v>0</v>
      </c>
      <c r="G190" s="78">
        <v>0</v>
      </c>
      <c r="H190" s="78">
        <v>18</v>
      </c>
      <c r="I190" s="78">
        <v>0</v>
      </c>
      <c r="J190" s="78">
        <v>0</v>
      </c>
      <c r="K190" s="78">
        <v>18</v>
      </c>
      <c r="L190" s="78">
        <v>0</v>
      </c>
      <c r="M190" s="78">
        <v>0</v>
      </c>
      <c r="N190" s="78">
        <v>0</v>
      </c>
      <c r="O190" s="78">
        <v>0</v>
      </c>
      <c r="P190" s="78">
        <v>0</v>
      </c>
      <c r="Q190" s="78">
        <v>0</v>
      </c>
      <c r="R190" s="78">
        <v>0</v>
      </c>
      <c r="S190" s="78">
        <v>0</v>
      </c>
      <c r="T190" s="78">
        <v>18</v>
      </c>
      <c r="U190" s="112">
        <v>1</v>
      </c>
      <c r="V190" s="112">
        <v>1</v>
      </c>
      <c r="W190" s="78" t="s">
        <v>111</v>
      </c>
    </row>
    <row r="191" spans="1:23" s="115" customFormat="1" ht="14.45" customHeight="1" x14ac:dyDescent="0.2">
      <c r="A191" s="78" t="s">
        <v>110</v>
      </c>
      <c r="B191" s="78" t="s">
        <v>486</v>
      </c>
      <c r="C191" s="78">
        <v>119</v>
      </c>
      <c r="D191" s="78">
        <v>0</v>
      </c>
      <c r="E191" s="78">
        <v>14</v>
      </c>
      <c r="F191" s="78">
        <v>16</v>
      </c>
      <c r="G191" s="78">
        <v>30</v>
      </c>
      <c r="H191" s="78">
        <v>11</v>
      </c>
      <c r="I191" s="78">
        <v>0</v>
      </c>
      <c r="J191" s="78">
        <v>0</v>
      </c>
      <c r="K191" s="78">
        <v>41</v>
      </c>
      <c r="L191" s="78">
        <v>0</v>
      </c>
      <c r="M191" s="78">
        <v>21</v>
      </c>
      <c r="N191" s="78">
        <v>15</v>
      </c>
      <c r="O191" s="78">
        <v>36</v>
      </c>
      <c r="P191" s="78">
        <v>42</v>
      </c>
      <c r="Q191" s="78">
        <v>0</v>
      </c>
      <c r="R191" s="78">
        <v>0</v>
      </c>
      <c r="S191" s="78">
        <v>78</v>
      </c>
      <c r="T191" s="78">
        <v>119</v>
      </c>
      <c r="U191" s="112">
        <v>1</v>
      </c>
      <c r="V191" s="112">
        <v>1</v>
      </c>
      <c r="W191" s="78" t="s">
        <v>111</v>
      </c>
    </row>
    <row r="192" spans="1:23" s="115" customFormat="1" ht="14.45" customHeight="1" x14ac:dyDescent="0.2">
      <c r="A192" s="78" t="s">
        <v>385</v>
      </c>
      <c r="B192" s="78" t="s">
        <v>487</v>
      </c>
      <c r="C192" s="78">
        <v>0</v>
      </c>
      <c r="D192" s="78">
        <v>0</v>
      </c>
      <c r="E192" s="78">
        <v>0</v>
      </c>
      <c r="F192" s="78">
        <v>0</v>
      </c>
      <c r="G192" s="78">
        <v>0</v>
      </c>
      <c r="H192" s="78">
        <v>0</v>
      </c>
      <c r="I192" s="78">
        <v>0</v>
      </c>
      <c r="J192" s="78">
        <v>0</v>
      </c>
      <c r="K192" s="78">
        <v>0</v>
      </c>
      <c r="L192" s="78">
        <v>0</v>
      </c>
      <c r="M192" s="78">
        <v>0</v>
      </c>
      <c r="N192" s="78">
        <v>0</v>
      </c>
      <c r="O192" s="78">
        <v>0</v>
      </c>
      <c r="P192" s="78">
        <v>0</v>
      </c>
      <c r="Q192" s="78">
        <v>0</v>
      </c>
      <c r="R192" s="78">
        <v>0</v>
      </c>
      <c r="S192" s="78">
        <v>0</v>
      </c>
      <c r="T192" s="78">
        <v>346</v>
      </c>
      <c r="U192" s="112">
        <v>0</v>
      </c>
      <c r="V192" s="112">
        <v>0</v>
      </c>
      <c r="W192" s="78" t="s">
        <v>112</v>
      </c>
    </row>
    <row r="193" spans="1:23" s="115" customFormat="1" ht="14.45" customHeight="1" x14ac:dyDescent="0.2">
      <c r="A193" s="78" t="s">
        <v>385</v>
      </c>
      <c r="B193" s="78" t="s">
        <v>486</v>
      </c>
      <c r="C193" s="78">
        <v>0</v>
      </c>
      <c r="D193" s="78">
        <v>0</v>
      </c>
      <c r="E193" s="78">
        <v>0</v>
      </c>
      <c r="F193" s="78">
        <v>0</v>
      </c>
      <c r="G193" s="78">
        <v>0</v>
      </c>
      <c r="H193" s="78">
        <v>0</v>
      </c>
      <c r="I193" s="78">
        <v>0</v>
      </c>
      <c r="J193" s="78">
        <v>0</v>
      </c>
      <c r="K193" s="78">
        <v>0</v>
      </c>
      <c r="L193" s="78">
        <v>0</v>
      </c>
      <c r="M193" s="78">
        <v>0</v>
      </c>
      <c r="N193" s="78">
        <v>0</v>
      </c>
      <c r="O193" s="78">
        <v>0</v>
      </c>
      <c r="P193" s="78">
        <v>0</v>
      </c>
      <c r="Q193" s="78">
        <v>0</v>
      </c>
      <c r="R193" s="78">
        <v>0</v>
      </c>
      <c r="S193" s="78">
        <v>0</v>
      </c>
      <c r="T193" s="78">
        <v>42005</v>
      </c>
      <c r="U193" s="112">
        <v>0</v>
      </c>
      <c r="V193" s="112">
        <v>0</v>
      </c>
      <c r="W193" s="78" t="s">
        <v>112</v>
      </c>
    </row>
    <row r="194" spans="1:23" s="115" customFormat="1" ht="14.45" customHeight="1" x14ac:dyDescent="0.2">
      <c r="A194" s="78" t="s">
        <v>385</v>
      </c>
      <c r="B194" s="78" t="s">
        <v>490</v>
      </c>
      <c r="C194" s="78">
        <v>0</v>
      </c>
      <c r="D194" s="78">
        <v>0</v>
      </c>
      <c r="E194" s="78">
        <v>0</v>
      </c>
      <c r="F194" s="78">
        <v>0</v>
      </c>
      <c r="G194" s="78">
        <v>0</v>
      </c>
      <c r="H194" s="78">
        <v>0</v>
      </c>
      <c r="I194" s="78">
        <v>0</v>
      </c>
      <c r="J194" s="78">
        <v>0</v>
      </c>
      <c r="K194" s="78">
        <v>0</v>
      </c>
      <c r="L194" s="78">
        <v>0</v>
      </c>
      <c r="M194" s="78">
        <v>0</v>
      </c>
      <c r="N194" s="78">
        <v>0</v>
      </c>
      <c r="O194" s="78">
        <v>0</v>
      </c>
      <c r="P194" s="78">
        <v>0</v>
      </c>
      <c r="Q194" s="78">
        <v>0</v>
      </c>
      <c r="R194" s="78">
        <v>0</v>
      </c>
      <c r="S194" s="78">
        <v>0</v>
      </c>
      <c r="T194" s="78">
        <v>65936</v>
      </c>
      <c r="U194" s="112">
        <v>0</v>
      </c>
      <c r="V194" s="112">
        <v>0</v>
      </c>
      <c r="W194" s="78" t="s">
        <v>112</v>
      </c>
    </row>
    <row r="195" spans="1:23" s="115" customFormat="1" ht="14.45" customHeight="1" x14ac:dyDescent="0.2">
      <c r="A195" s="78" t="s">
        <v>113</v>
      </c>
      <c r="B195" s="78" t="s">
        <v>487</v>
      </c>
      <c r="C195" s="78">
        <v>1772</v>
      </c>
      <c r="D195" s="78">
        <v>44</v>
      </c>
      <c r="E195" s="78">
        <v>73</v>
      </c>
      <c r="F195" s="78">
        <v>25</v>
      </c>
      <c r="G195" s="78">
        <v>142</v>
      </c>
      <c r="H195" s="78">
        <v>250</v>
      </c>
      <c r="I195" s="78">
        <v>0</v>
      </c>
      <c r="J195" s="78">
        <v>0</v>
      </c>
      <c r="K195" s="78">
        <v>392</v>
      </c>
      <c r="L195" s="78">
        <v>23</v>
      </c>
      <c r="M195" s="78">
        <v>53</v>
      </c>
      <c r="N195" s="78">
        <v>32</v>
      </c>
      <c r="O195" s="78">
        <v>108</v>
      </c>
      <c r="P195" s="78">
        <v>1272</v>
      </c>
      <c r="Q195" s="78">
        <v>0</v>
      </c>
      <c r="R195" s="78">
        <v>0</v>
      </c>
      <c r="S195" s="78">
        <v>1380</v>
      </c>
      <c r="T195" s="78">
        <v>1772</v>
      </c>
      <c r="U195" s="112">
        <v>1</v>
      </c>
      <c r="V195" s="112">
        <v>1</v>
      </c>
      <c r="W195" s="78" t="s">
        <v>114</v>
      </c>
    </row>
    <row r="196" spans="1:23" s="115" customFormat="1" ht="14.45" customHeight="1" x14ac:dyDescent="0.2">
      <c r="A196" s="78" t="s">
        <v>113</v>
      </c>
      <c r="B196" s="78" t="s">
        <v>491</v>
      </c>
      <c r="C196" s="78">
        <v>12</v>
      </c>
      <c r="D196" s="78">
        <v>0</v>
      </c>
      <c r="E196" s="78">
        <v>0</v>
      </c>
      <c r="F196" s="78">
        <v>0</v>
      </c>
      <c r="G196" s="78">
        <v>0</v>
      </c>
      <c r="H196" s="78">
        <v>12</v>
      </c>
      <c r="I196" s="78">
        <v>0</v>
      </c>
      <c r="J196" s="78">
        <v>0</v>
      </c>
      <c r="K196" s="78">
        <v>12</v>
      </c>
      <c r="L196" s="78">
        <v>0</v>
      </c>
      <c r="M196" s="78">
        <v>0</v>
      </c>
      <c r="N196" s="78">
        <v>0</v>
      </c>
      <c r="O196" s="78">
        <v>0</v>
      </c>
      <c r="P196" s="78">
        <v>0</v>
      </c>
      <c r="Q196" s="78">
        <v>0</v>
      </c>
      <c r="R196" s="78">
        <v>0</v>
      </c>
      <c r="S196" s="78">
        <v>0</v>
      </c>
      <c r="T196" s="78">
        <v>12</v>
      </c>
      <c r="U196" s="112">
        <v>1</v>
      </c>
      <c r="V196" s="112">
        <v>1</v>
      </c>
      <c r="W196" s="78" t="s">
        <v>114</v>
      </c>
    </row>
    <row r="197" spans="1:23" s="115" customFormat="1" ht="14.45" customHeight="1" x14ac:dyDescent="0.2">
      <c r="A197" s="78" t="s">
        <v>113</v>
      </c>
      <c r="B197" s="78" t="s">
        <v>486</v>
      </c>
      <c r="C197" s="78">
        <v>1202</v>
      </c>
      <c r="D197" s="78">
        <v>36</v>
      </c>
      <c r="E197" s="78">
        <v>86</v>
      </c>
      <c r="F197" s="78">
        <v>93</v>
      </c>
      <c r="G197" s="78">
        <v>215</v>
      </c>
      <c r="H197" s="78">
        <v>272</v>
      </c>
      <c r="I197" s="78">
        <v>10</v>
      </c>
      <c r="J197" s="78">
        <v>0</v>
      </c>
      <c r="K197" s="78">
        <v>497</v>
      </c>
      <c r="L197" s="78">
        <v>43</v>
      </c>
      <c r="M197" s="78">
        <v>54</v>
      </c>
      <c r="N197" s="78">
        <v>71</v>
      </c>
      <c r="O197" s="78">
        <v>168</v>
      </c>
      <c r="P197" s="78">
        <v>513</v>
      </c>
      <c r="Q197" s="78">
        <v>24</v>
      </c>
      <c r="R197" s="78">
        <v>0</v>
      </c>
      <c r="S197" s="78">
        <v>705</v>
      </c>
      <c r="T197" s="78">
        <v>1202</v>
      </c>
      <c r="U197" s="112">
        <v>1</v>
      </c>
      <c r="V197" s="112">
        <v>1</v>
      </c>
      <c r="W197" s="78" t="s">
        <v>114</v>
      </c>
    </row>
    <row r="198" spans="1:23" s="115" customFormat="1" ht="14.45" customHeight="1" x14ac:dyDescent="0.2">
      <c r="A198" s="78" t="s">
        <v>115</v>
      </c>
      <c r="B198" s="78" t="s">
        <v>487</v>
      </c>
      <c r="C198" s="78">
        <v>7631</v>
      </c>
      <c r="D198" s="78">
        <v>458</v>
      </c>
      <c r="E198" s="78">
        <v>703</v>
      </c>
      <c r="F198" s="78">
        <v>507</v>
      </c>
      <c r="G198" s="78">
        <v>1668</v>
      </c>
      <c r="H198" s="78">
        <v>1681</v>
      </c>
      <c r="I198" s="78">
        <v>53</v>
      </c>
      <c r="J198" s="78">
        <v>0</v>
      </c>
      <c r="K198" s="78">
        <v>3402</v>
      </c>
      <c r="L198" s="78">
        <v>543</v>
      </c>
      <c r="M198" s="78">
        <v>767</v>
      </c>
      <c r="N198" s="78">
        <v>574</v>
      </c>
      <c r="O198" s="78">
        <v>1884</v>
      </c>
      <c r="P198" s="78">
        <v>2284</v>
      </c>
      <c r="Q198" s="78">
        <v>61</v>
      </c>
      <c r="R198" s="78">
        <v>0</v>
      </c>
      <c r="S198" s="78">
        <v>4229</v>
      </c>
      <c r="T198" s="78">
        <v>63747</v>
      </c>
      <c r="U198" s="112">
        <v>0.119707594082859</v>
      </c>
      <c r="V198" s="112">
        <v>0.119707594082859</v>
      </c>
      <c r="W198" s="78" t="s">
        <v>116</v>
      </c>
    </row>
    <row r="199" spans="1:23" s="115" customFormat="1" ht="14.45" customHeight="1" x14ac:dyDescent="0.2">
      <c r="A199" s="78" t="s">
        <v>115</v>
      </c>
      <c r="B199" s="78" t="s">
        <v>493</v>
      </c>
      <c r="C199" s="78">
        <v>0</v>
      </c>
      <c r="D199" s="78">
        <v>0</v>
      </c>
      <c r="E199" s="78">
        <v>0</v>
      </c>
      <c r="F199" s="78">
        <v>0</v>
      </c>
      <c r="G199" s="78">
        <v>0</v>
      </c>
      <c r="H199" s="78">
        <v>0</v>
      </c>
      <c r="I199" s="78">
        <v>0</v>
      </c>
      <c r="J199" s="78">
        <v>0</v>
      </c>
      <c r="K199" s="78">
        <v>0</v>
      </c>
      <c r="L199" s="78">
        <v>0</v>
      </c>
      <c r="M199" s="78">
        <v>0</v>
      </c>
      <c r="N199" s="78">
        <v>0</v>
      </c>
      <c r="O199" s="78">
        <v>0</v>
      </c>
      <c r="P199" s="78">
        <v>0</v>
      </c>
      <c r="Q199" s="78">
        <v>0</v>
      </c>
      <c r="R199" s="78">
        <v>0</v>
      </c>
      <c r="S199" s="78">
        <v>0</v>
      </c>
      <c r="T199" s="78">
        <v>534293</v>
      </c>
      <c r="U199" s="112">
        <v>0</v>
      </c>
      <c r="V199" s="112">
        <v>0</v>
      </c>
      <c r="W199" s="78" t="s">
        <v>116</v>
      </c>
    </row>
    <row r="200" spans="1:23" s="115" customFormat="1" ht="14.45" customHeight="1" x14ac:dyDescent="0.2">
      <c r="A200" s="78" t="s">
        <v>115</v>
      </c>
      <c r="B200" s="78" t="s">
        <v>489</v>
      </c>
      <c r="C200" s="78">
        <v>2561497</v>
      </c>
      <c r="D200" s="78">
        <v>244150</v>
      </c>
      <c r="E200" s="78">
        <v>313065</v>
      </c>
      <c r="F200" s="78">
        <v>144092</v>
      </c>
      <c r="G200" s="78">
        <v>701307</v>
      </c>
      <c r="H200" s="78">
        <v>549092</v>
      </c>
      <c r="I200" s="78">
        <v>73001</v>
      </c>
      <c r="J200" s="78">
        <v>0</v>
      </c>
      <c r="K200" s="78">
        <v>1323400</v>
      </c>
      <c r="L200" s="78">
        <v>214337</v>
      </c>
      <c r="M200" s="78">
        <v>299736</v>
      </c>
      <c r="N200" s="78">
        <v>146652</v>
      </c>
      <c r="O200" s="78">
        <v>660725</v>
      </c>
      <c r="P200" s="78">
        <v>487503</v>
      </c>
      <c r="Q200" s="78">
        <v>89869</v>
      </c>
      <c r="R200" s="78">
        <v>0</v>
      </c>
      <c r="S200" s="78">
        <v>1238097</v>
      </c>
      <c r="T200" s="78">
        <v>2561497</v>
      </c>
      <c r="U200" s="112">
        <v>1</v>
      </c>
      <c r="V200" s="112">
        <v>1</v>
      </c>
      <c r="W200" s="78" t="s">
        <v>116</v>
      </c>
    </row>
    <row r="201" spans="1:23" s="115" customFormat="1" ht="14.45" customHeight="1" x14ac:dyDescent="0.2">
      <c r="A201" s="78" t="s">
        <v>115</v>
      </c>
      <c r="B201" s="78" t="s">
        <v>491</v>
      </c>
      <c r="C201" s="78">
        <v>604</v>
      </c>
      <c r="D201" s="78">
        <v>0</v>
      </c>
      <c r="E201" s="78">
        <v>34</v>
      </c>
      <c r="F201" s="78">
        <v>48</v>
      </c>
      <c r="G201" s="78">
        <v>82</v>
      </c>
      <c r="H201" s="78">
        <v>393</v>
      </c>
      <c r="I201" s="78">
        <v>10</v>
      </c>
      <c r="J201" s="78">
        <v>0</v>
      </c>
      <c r="K201" s="78">
        <v>485</v>
      </c>
      <c r="L201" s="78">
        <v>5</v>
      </c>
      <c r="M201" s="78">
        <v>24</v>
      </c>
      <c r="N201" s="78">
        <v>44</v>
      </c>
      <c r="O201" s="78">
        <v>73</v>
      </c>
      <c r="P201" s="78">
        <v>46</v>
      </c>
      <c r="Q201" s="78">
        <v>0</v>
      </c>
      <c r="R201" s="78">
        <v>0</v>
      </c>
      <c r="S201" s="78">
        <v>119</v>
      </c>
      <c r="T201" s="78">
        <v>604</v>
      </c>
      <c r="U201" s="112">
        <v>1</v>
      </c>
      <c r="V201" s="112">
        <v>1</v>
      </c>
      <c r="W201" s="78" t="s">
        <v>116</v>
      </c>
    </row>
    <row r="202" spans="1:23" s="115" customFormat="1" ht="14.45" customHeight="1" x14ac:dyDescent="0.2">
      <c r="A202" s="78" t="s">
        <v>115</v>
      </c>
      <c r="B202" s="78" t="s">
        <v>492</v>
      </c>
      <c r="C202" s="78">
        <v>0</v>
      </c>
      <c r="D202" s="78">
        <v>0</v>
      </c>
      <c r="E202" s="78">
        <v>0</v>
      </c>
      <c r="F202" s="78">
        <v>0</v>
      </c>
      <c r="G202" s="78">
        <v>0</v>
      </c>
      <c r="H202" s="78">
        <v>0</v>
      </c>
      <c r="I202" s="78">
        <v>0</v>
      </c>
      <c r="J202" s="78">
        <v>0</v>
      </c>
      <c r="K202" s="78">
        <v>0</v>
      </c>
      <c r="L202" s="78">
        <v>0</v>
      </c>
      <c r="M202" s="78">
        <v>0</v>
      </c>
      <c r="N202" s="78">
        <v>0</v>
      </c>
      <c r="O202" s="78">
        <v>0</v>
      </c>
      <c r="P202" s="78">
        <v>0</v>
      </c>
      <c r="Q202" s="78">
        <v>0</v>
      </c>
      <c r="R202" s="78">
        <v>0</v>
      </c>
      <c r="S202" s="78">
        <v>0</v>
      </c>
      <c r="T202" s="78">
        <v>6187</v>
      </c>
      <c r="U202" s="112">
        <v>0</v>
      </c>
      <c r="V202" s="112">
        <v>0</v>
      </c>
      <c r="W202" s="78" t="s">
        <v>116</v>
      </c>
    </row>
    <row r="203" spans="1:23" s="115" customFormat="1" ht="14.45" customHeight="1" x14ac:dyDescent="0.2">
      <c r="A203" s="78" t="s">
        <v>115</v>
      </c>
      <c r="B203" s="78" t="s">
        <v>486</v>
      </c>
      <c r="C203" s="78">
        <v>954598</v>
      </c>
      <c r="D203" s="78">
        <v>60842</v>
      </c>
      <c r="E203" s="78">
        <v>117556</v>
      </c>
      <c r="F203" s="78">
        <v>84761</v>
      </c>
      <c r="G203" s="78">
        <v>263159</v>
      </c>
      <c r="H203" s="78">
        <v>226385</v>
      </c>
      <c r="I203" s="78">
        <v>12646</v>
      </c>
      <c r="J203" s="78">
        <v>0</v>
      </c>
      <c r="K203" s="78">
        <v>502190</v>
      </c>
      <c r="L203" s="78">
        <v>63376</v>
      </c>
      <c r="M203" s="78">
        <v>119884</v>
      </c>
      <c r="N203" s="78">
        <v>90782</v>
      </c>
      <c r="O203" s="78">
        <v>274042</v>
      </c>
      <c r="P203" s="78">
        <v>169152</v>
      </c>
      <c r="Q203" s="78">
        <v>9214</v>
      </c>
      <c r="R203" s="78">
        <v>0</v>
      </c>
      <c r="S203" s="78">
        <v>452408</v>
      </c>
      <c r="T203" s="78">
        <v>979846</v>
      </c>
      <c r="U203" s="112">
        <v>0.97423268554446296</v>
      </c>
      <c r="V203" s="112">
        <v>0.97423268554446296</v>
      </c>
      <c r="W203" s="78" t="s">
        <v>116</v>
      </c>
    </row>
    <row r="204" spans="1:23" s="115" customFormat="1" ht="14.45" customHeight="1" x14ac:dyDescent="0.2">
      <c r="A204" s="78" t="s">
        <v>117</v>
      </c>
      <c r="B204" s="78" t="s">
        <v>486</v>
      </c>
      <c r="C204" s="78">
        <v>15</v>
      </c>
      <c r="D204" s="78">
        <v>0</v>
      </c>
      <c r="E204" s="78">
        <v>0</v>
      </c>
      <c r="F204" s="78">
        <v>0</v>
      </c>
      <c r="G204" s="78">
        <v>0</v>
      </c>
      <c r="H204" s="78">
        <v>10</v>
      </c>
      <c r="I204" s="78">
        <v>0</v>
      </c>
      <c r="J204" s="78">
        <v>0</v>
      </c>
      <c r="K204" s="78">
        <v>10</v>
      </c>
      <c r="L204" s="78">
        <v>0</v>
      </c>
      <c r="M204" s="78">
        <v>0</v>
      </c>
      <c r="N204" s="78">
        <v>0</v>
      </c>
      <c r="O204" s="78">
        <v>0</v>
      </c>
      <c r="P204" s="78">
        <v>5</v>
      </c>
      <c r="Q204" s="78">
        <v>0</v>
      </c>
      <c r="R204" s="78">
        <v>0</v>
      </c>
      <c r="S204" s="78">
        <v>5</v>
      </c>
      <c r="T204" s="78">
        <v>15</v>
      </c>
      <c r="U204" s="112">
        <v>1</v>
      </c>
      <c r="V204" s="112">
        <v>1</v>
      </c>
      <c r="W204" s="78" t="s">
        <v>118</v>
      </c>
    </row>
    <row r="205" spans="1:23" s="115" customFormat="1" ht="14.45" customHeight="1" x14ac:dyDescent="0.2">
      <c r="A205" s="78" t="s">
        <v>119</v>
      </c>
      <c r="B205" s="78" t="s">
        <v>487</v>
      </c>
      <c r="C205" s="78">
        <v>0</v>
      </c>
      <c r="D205" s="78">
        <v>0</v>
      </c>
      <c r="E205" s="78">
        <v>0</v>
      </c>
      <c r="F205" s="78">
        <v>0</v>
      </c>
      <c r="G205" s="78">
        <v>0</v>
      </c>
      <c r="H205" s="78">
        <v>0</v>
      </c>
      <c r="I205" s="78">
        <v>0</v>
      </c>
      <c r="J205" s="78">
        <v>0</v>
      </c>
      <c r="K205" s="78">
        <v>0</v>
      </c>
      <c r="L205" s="78">
        <v>0</v>
      </c>
      <c r="M205" s="78">
        <v>0</v>
      </c>
      <c r="N205" s="78">
        <v>0</v>
      </c>
      <c r="O205" s="78">
        <v>0</v>
      </c>
      <c r="P205" s="78">
        <v>0</v>
      </c>
      <c r="Q205" s="78">
        <v>0</v>
      </c>
      <c r="R205" s="78">
        <v>0</v>
      </c>
      <c r="S205" s="78">
        <v>0</v>
      </c>
      <c r="T205" s="78">
        <v>7410</v>
      </c>
      <c r="U205" s="112">
        <v>0</v>
      </c>
      <c r="V205" s="112">
        <v>0</v>
      </c>
      <c r="W205" s="78" t="s">
        <v>120</v>
      </c>
    </row>
    <row r="206" spans="1:23" s="115" customFormat="1" ht="14.45" customHeight="1" x14ac:dyDescent="0.2">
      <c r="A206" s="78" t="s">
        <v>119</v>
      </c>
      <c r="B206" s="78" t="s">
        <v>486</v>
      </c>
      <c r="C206" s="78">
        <v>0</v>
      </c>
      <c r="D206" s="78">
        <v>0</v>
      </c>
      <c r="E206" s="78">
        <v>0</v>
      </c>
      <c r="F206" s="78">
        <v>0</v>
      </c>
      <c r="G206" s="78">
        <v>0</v>
      </c>
      <c r="H206" s="78">
        <v>0</v>
      </c>
      <c r="I206" s="78">
        <v>0</v>
      </c>
      <c r="J206" s="78">
        <v>0</v>
      </c>
      <c r="K206" s="78">
        <v>0</v>
      </c>
      <c r="L206" s="78">
        <v>0</v>
      </c>
      <c r="M206" s="78">
        <v>0</v>
      </c>
      <c r="N206" s="78">
        <v>0</v>
      </c>
      <c r="O206" s="78">
        <v>0</v>
      </c>
      <c r="P206" s="78">
        <v>0</v>
      </c>
      <c r="Q206" s="78">
        <v>0</v>
      </c>
      <c r="R206" s="78">
        <v>0</v>
      </c>
      <c r="S206" s="78">
        <v>0</v>
      </c>
      <c r="T206" s="78">
        <v>89869</v>
      </c>
      <c r="U206" s="112">
        <v>0</v>
      </c>
      <c r="V206" s="112">
        <v>0</v>
      </c>
      <c r="W206" s="78" t="s">
        <v>120</v>
      </c>
    </row>
    <row r="207" spans="1:23" s="115" customFormat="1" ht="14.45" customHeight="1" x14ac:dyDescent="0.2">
      <c r="A207" s="78" t="s">
        <v>119</v>
      </c>
      <c r="B207" s="78" t="s">
        <v>490</v>
      </c>
      <c r="C207" s="78">
        <v>0</v>
      </c>
      <c r="D207" s="78">
        <v>0</v>
      </c>
      <c r="E207" s="78">
        <v>0</v>
      </c>
      <c r="F207" s="78">
        <v>0</v>
      </c>
      <c r="G207" s="78">
        <v>0</v>
      </c>
      <c r="H207" s="78">
        <v>0</v>
      </c>
      <c r="I207" s="78">
        <v>0</v>
      </c>
      <c r="J207" s="78">
        <v>0</v>
      </c>
      <c r="K207" s="78">
        <v>0</v>
      </c>
      <c r="L207" s="78">
        <v>0</v>
      </c>
      <c r="M207" s="78">
        <v>0</v>
      </c>
      <c r="N207" s="78">
        <v>0</v>
      </c>
      <c r="O207" s="78">
        <v>0</v>
      </c>
      <c r="P207" s="78">
        <v>0</v>
      </c>
      <c r="Q207" s="78">
        <v>0</v>
      </c>
      <c r="R207" s="78">
        <v>0</v>
      </c>
      <c r="S207" s="78">
        <v>0</v>
      </c>
      <c r="T207" s="78">
        <v>2534</v>
      </c>
      <c r="U207" s="112">
        <v>0</v>
      </c>
      <c r="V207" s="112">
        <v>0</v>
      </c>
      <c r="W207" s="78" t="s">
        <v>120</v>
      </c>
    </row>
    <row r="208" spans="1:23" s="115" customFormat="1" ht="14.45" customHeight="1" x14ac:dyDescent="0.2">
      <c r="A208" s="78" t="s">
        <v>121</v>
      </c>
      <c r="B208" s="78" t="s">
        <v>487</v>
      </c>
      <c r="C208" s="78">
        <v>26111</v>
      </c>
      <c r="D208" s="78">
        <v>0</v>
      </c>
      <c r="E208" s="78">
        <v>0</v>
      </c>
      <c r="F208" s="78">
        <v>0</v>
      </c>
      <c r="G208" s="78">
        <v>0</v>
      </c>
      <c r="H208" s="78">
        <v>0</v>
      </c>
      <c r="I208" s="78">
        <v>0</v>
      </c>
      <c r="J208" s="78">
        <v>7551</v>
      </c>
      <c r="K208" s="78">
        <v>7551</v>
      </c>
      <c r="L208" s="78">
        <v>0</v>
      </c>
      <c r="M208" s="78">
        <v>0</v>
      </c>
      <c r="N208" s="78">
        <v>0</v>
      </c>
      <c r="O208" s="78">
        <v>0</v>
      </c>
      <c r="P208" s="78">
        <v>0</v>
      </c>
      <c r="Q208" s="78">
        <v>0</v>
      </c>
      <c r="R208" s="78">
        <v>18560</v>
      </c>
      <c r="S208" s="78">
        <v>18560</v>
      </c>
      <c r="T208" s="78">
        <v>79642</v>
      </c>
      <c r="U208" s="112">
        <v>0</v>
      </c>
      <c r="V208" s="112">
        <v>0.32785464955676702</v>
      </c>
      <c r="W208" s="78" t="s">
        <v>122</v>
      </c>
    </row>
    <row r="209" spans="1:23" s="115" customFormat="1" ht="14.45" customHeight="1" x14ac:dyDescent="0.2">
      <c r="A209" s="78" t="s">
        <v>121</v>
      </c>
      <c r="B209" s="78" t="s">
        <v>491</v>
      </c>
      <c r="C209" s="78">
        <v>0</v>
      </c>
      <c r="D209" s="78">
        <v>0</v>
      </c>
      <c r="E209" s="78">
        <v>0</v>
      </c>
      <c r="F209" s="78">
        <v>0</v>
      </c>
      <c r="G209" s="78">
        <v>0</v>
      </c>
      <c r="H209" s="78">
        <v>0</v>
      </c>
      <c r="I209" s="78">
        <v>0</v>
      </c>
      <c r="J209" s="78">
        <v>0</v>
      </c>
      <c r="K209" s="78">
        <v>0</v>
      </c>
      <c r="L209" s="78">
        <v>0</v>
      </c>
      <c r="M209" s="78">
        <v>0</v>
      </c>
      <c r="N209" s="78">
        <v>0</v>
      </c>
      <c r="O209" s="78">
        <v>0</v>
      </c>
      <c r="P209" s="78">
        <v>0</v>
      </c>
      <c r="Q209" s="78">
        <v>0</v>
      </c>
      <c r="R209" s="78">
        <v>0</v>
      </c>
      <c r="S209" s="78">
        <v>0</v>
      </c>
      <c r="T209" s="78">
        <v>1716</v>
      </c>
      <c r="U209" s="112">
        <v>0</v>
      </c>
      <c r="V209" s="112">
        <v>0</v>
      </c>
      <c r="W209" s="78" t="s">
        <v>122</v>
      </c>
    </row>
    <row r="210" spans="1:23" s="115" customFormat="1" ht="14.45" customHeight="1" x14ac:dyDescent="0.2">
      <c r="A210" s="78" t="s">
        <v>121</v>
      </c>
      <c r="B210" s="78" t="s">
        <v>486</v>
      </c>
      <c r="C210" s="78">
        <v>664366</v>
      </c>
      <c r="D210" s="78">
        <v>0</v>
      </c>
      <c r="E210" s="78">
        <v>0</v>
      </c>
      <c r="F210" s="78">
        <v>0</v>
      </c>
      <c r="G210" s="78">
        <v>0</v>
      </c>
      <c r="H210" s="78">
        <v>0</v>
      </c>
      <c r="I210" s="78">
        <v>0</v>
      </c>
      <c r="J210" s="78">
        <v>293086</v>
      </c>
      <c r="K210" s="78">
        <v>293086</v>
      </c>
      <c r="L210" s="78">
        <v>0</v>
      </c>
      <c r="M210" s="78">
        <v>0</v>
      </c>
      <c r="N210" s="78">
        <v>0</v>
      </c>
      <c r="O210" s="78">
        <v>0</v>
      </c>
      <c r="P210" s="78">
        <v>0</v>
      </c>
      <c r="Q210" s="78">
        <v>0</v>
      </c>
      <c r="R210" s="78">
        <v>371280</v>
      </c>
      <c r="S210" s="78">
        <v>371280</v>
      </c>
      <c r="T210" s="78">
        <v>664366</v>
      </c>
      <c r="U210" s="112">
        <v>0</v>
      </c>
      <c r="V210" s="112">
        <v>1</v>
      </c>
      <c r="W210" s="78" t="s">
        <v>122</v>
      </c>
    </row>
    <row r="211" spans="1:23" s="115" customFormat="1" ht="14.45" customHeight="1" x14ac:dyDescent="0.2">
      <c r="A211" s="78" t="s">
        <v>123</v>
      </c>
      <c r="B211" s="78" t="s">
        <v>487</v>
      </c>
      <c r="C211" s="78">
        <v>86</v>
      </c>
      <c r="D211" s="78">
        <v>0</v>
      </c>
      <c r="E211" s="78">
        <v>0</v>
      </c>
      <c r="F211" s="78">
        <v>5</v>
      </c>
      <c r="G211" s="78">
        <v>5</v>
      </c>
      <c r="H211" s="78">
        <v>22</v>
      </c>
      <c r="I211" s="78">
        <v>0</v>
      </c>
      <c r="J211" s="78">
        <v>0</v>
      </c>
      <c r="K211" s="78">
        <v>27</v>
      </c>
      <c r="L211" s="78">
        <v>0</v>
      </c>
      <c r="M211" s="78">
        <v>5</v>
      </c>
      <c r="N211" s="78">
        <v>8</v>
      </c>
      <c r="O211" s="78">
        <v>13</v>
      </c>
      <c r="P211" s="78">
        <v>41</v>
      </c>
      <c r="Q211" s="78">
        <v>5</v>
      </c>
      <c r="R211" s="78">
        <v>0</v>
      </c>
      <c r="S211" s="78">
        <v>59</v>
      </c>
      <c r="T211" s="78">
        <v>86</v>
      </c>
      <c r="U211" s="112">
        <v>1</v>
      </c>
      <c r="V211" s="112">
        <v>1</v>
      </c>
      <c r="W211" s="78" t="s">
        <v>124</v>
      </c>
    </row>
    <row r="212" spans="1:23" s="115" customFormat="1" ht="14.45" customHeight="1" x14ac:dyDescent="0.2">
      <c r="A212" s="78" t="s">
        <v>123</v>
      </c>
      <c r="B212" s="78" t="s">
        <v>491</v>
      </c>
      <c r="C212" s="78">
        <v>9</v>
      </c>
      <c r="D212" s="78">
        <v>0</v>
      </c>
      <c r="E212" s="78">
        <v>9</v>
      </c>
      <c r="F212" s="78">
        <v>0</v>
      </c>
      <c r="G212" s="78">
        <v>9</v>
      </c>
      <c r="H212" s="78">
        <v>0</v>
      </c>
      <c r="I212" s="78">
        <v>0</v>
      </c>
      <c r="J212" s="78">
        <v>0</v>
      </c>
      <c r="K212" s="78">
        <v>9</v>
      </c>
      <c r="L212" s="78">
        <v>0</v>
      </c>
      <c r="M212" s="78">
        <v>0</v>
      </c>
      <c r="N212" s="78">
        <v>0</v>
      </c>
      <c r="O212" s="78">
        <v>0</v>
      </c>
      <c r="P212" s="78">
        <v>0</v>
      </c>
      <c r="Q212" s="78">
        <v>0</v>
      </c>
      <c r="R212" s="78">
        <v>0</v>
      </c>
      <c r="S212" s="78">
        <v>0</v>
      </c>
      <c r="T212" s="78">
        <v>9</v>
      </c>
      <c r="U212" s="112">
        <v>1</v>
      </c>
      <c r="V212" s="112">
        <v>1</v>
      </c>
      <c r="W212" s="78" t="s">
        <v>124</v>
      </c>
    </row>
    <row r="213" spans="1:23" s="115" customFormat="1" ht="14.45" customHeight="1" x14ac:dyDescent="0.2">
      <c r="A213" s="78" t="s">
        <v>123</v>
      </c>
      <c r="B213" s="78" t="s">
        <v>486</v>
      </c>
      <c r="C213" s="78">
        <v>204</v>
      </c>
      <c r="D213" s="78">
        <v>0</v>
      </c>
      <c r="E213" s="78">
        <v>8</v>
      </c>
      <c r="F213" s="78">
        <v>5</v>
      </c>
      <c r="G213" s="78">
        <v>13</v>
      </c>
      <c r="H213" s="78">
        <v>52</v>
      </c>
      <c r="I213" s="78">
        <v>5</v>
      </c>
      <c r="J213" s="78">
        <v>0</v>
      </c>
      <c r="K213" s="78">
        <v>70</v>
      </c>
      <c r="L213" s="78">
        <v>0</v>
      </c>
      <c r="M213" s="78">
        <v>5</v>
      </c>
      <c r="N213" s="78">
        <v>30</v>
      </c>
      <c r="O213" s="78">
        <v>35</v>
      </c>
      <c r="P213" s="78">
        <v>93</v>
      </c>
      <c r="Q213" s="78">
        <v>6</v>
      </c>
      <c r="R213" s="78">
        <v>0</v>
      </c>
      <c r="S213" s="78">
        <v>134</v>
      </c>
      <c r="T213" s="78">
        <v>204</v>
      </c>
      <c r="U213" s="112">
        <v>1</v>
      </c>
      <c r="V213" s="112">
        <v>1</v>
      </c>
      <c r="W213" s="78" t="s">
        <v>124</v>
      </c>
    </row>
    <row r="214" spans="1:23" s="115" customFormat="1" ht="14.45" customHeight="1" x14ac:dyDescent="0.2">
      <c r="A214" s="78" t="s">
        <v>125</v>
      </c>
      <c r="B214" s="78" t="s">
        <v>487</v>
      </c>
      <c r="C214" s="78">
        <v>446</v>
      </c>
      <c r="D214" s="78">
        <v>31</v>
      </c>
      <c r="E214" s="78">
        <v>46</v>
      </c>
      <c r="F214" s="78">
        <v>12</v>
      </c>
      <c r="G214" s="78">
        <v>89</v>
      </c>
      <c r="H214" s="78">
        <v>124</v>
      </c>
      <c r="I214" s="78">
        <v>0</v>
      </c>
      <c r="J214" s="78">
        <v>0</v>
      </c>
      <c r="K214" s="78">
        <v>213</v>
      </c>
      <c r="L214" s="78">
        <v>34</v>
      </c>
      <c r="M214" s="78">
        <v>38</v>
      </c>
      <c r="N214" s="78">
        <v>21</v>
      </c>
      <c r="O214" s="78">
        <v>93</v>
      </c>
      <c r="P214" s="78">
        <v>130</v>
      </c>
      <c r="Q214" s="78">
        <v>10</v>
      </c>
      <c r="R214" s="78">
        <v>0</v>
      </c>
      <c r="S214" s="78">
        <v>233</v>
      </c>
      <c r="T214" s="78">
        <v>446</v>
      </c>
      <c r="U214" s="112">
        <v>1</v>
      </c>
      <c r="V214" s="112">
        <v>1</v>
      </c>
      <c r="W214" s="78" t="s">
        <v>126</v>
      </c>
    </row>
    <row r="215" spans="1:23" s="115" customFormat="1" ht="14.45" customHeight="1" x14ac:dyDescent="0.2">
      <c r="A215" s="78" t="s">
        <v>125</v>
      </c>
      <c r="B215" s="78" t="s">
        <v>486</v>
      </c>
      <c r="C215" s="78">
        <v>3809</v>
      </c>
      <c r="D215" s="78">
        <v>130</v>
      </c>
      <c r="E215" s="78">
        <v>303</v>
      </c>
      <c r="F215" s="78">
        <v>345</v>
      </c>
      <c r="G215" s="78">
        <v>778</v>
      </c>
      <c r="H215" s="78">
        <v>1071</v>
      </c>
      <c r="I215" s="78">
        <v>124</v>
      </c>
      <c r="J215" s="78">
        <v>0</v>
      </c>
      <c r="K215" s="78">
        <v>1973</v>
      </c>
      <c r="L215" s="78">
        <v>149</v>
      </c>
      <c r="M215" s="78">
        <v>341</v>
      </c>
      <c r="N215" s="78">
        <v>360</v>
      </c>
      <c r="O215" s="78">
        <v>850</v>
      </c>
      <c r="P215" s="78">
        <v>831</v>
      </c>
      <c r="Q215" s="78">
        <v>155</v>
      </c>
      <c r="R215" s="78">
        <v>0</v>
      </c>
      <c r="S215" s="78">
        <v>1836</v>
      </c>
      <c r="T215" s="78">
        <v>3809</v>
      </c>
      <c r="U215" s="112">
        <v>1</v>
      </c>
      <c r="V215" s="112">
        <v>1</v>
      </c>
      <c r="W215" s="78" t="s">
        <v>126</v>
      </c>
    </row>
    <row r="216" spans="1:23" s="115" customFormat="1" ht="14.45" customHeight="1" x14ac:dyDescent="0.2">
      <c r="A216" s="78" t="s">
        <v>127</v>
      </c>
      <c r="B216" s="78" t="s">
        <v>487</v>
      </c>
      <c r="C216" s="78">
        <v>1051</v>
      </c>
      <c r="D216" s="78">
        <v>8</v>
      </c>
      <c r="E216" s="78">
        <v>17</v>
      </c>
      <c r="F216" s="78">
        <v>36</v>
      </c>
      <c r="G216" s="78">
        <v>61</v>
      </c>
      <c r="H216" s="78">
        <v>200</v>
      </c>
      <c r="I216" s="78">
        <v>10</v>
      </c>
      <c r="J216" s="78">
        <v>0</v>
      </c>
      <c r="K216" s="78">
        <v>271</v>
      </c>
      <c r="L216" s="78">
        <v>20</v>
      </c>
      <c r="M216" s="78">
        <v>16</v>
      </c>
      <c r="N216" s="78">
        <v>39</v>
      </c>
      <c r="O216" s="78">
        <v>75</v>
      </c>
      <c r="P216" s="78">
        <v>679</v>
      </c>
      <c r="Q216" s="78">
        <v>26</v>
      </c>
      <c r="R216" s="78">
        <v>0</v>
      </c>
      <c r="S216" s="78">
        <v>780</v>
      </c>
      <c r="T216" s="78">
        <v>1051</v>
      </c>
      <c r="U216" s="112">
        <v>1</v>
      </c>
      <c r="V216" s="112">
        <v>1</v>
      </c>
      <c r="W216" s="78" t="s">
        <v>128</v>
      </c>
    </row>
    <row r="217" spans="1:23" s="115" customFormat="1" ht="14.45" customHeight="1" x14ac:dyDescent="0.2">
      <c r="A217" s="78" t="s">
        <v>127</v>
      </c>
      <c r="B217" s="78" t="s">
        <v>489</v>
      </c>
      <c r="C217" s="78">
        <v>295831</v>
      </c>
      <c r="D217" s="78">
        <v>8433</v>
      </c>
      <c r="E217" s="78">
        <v>17680</v>
      </c>
      <c r="F217" s="78">
        <v>14077</v>
      </c>
      <c r="G217" s="78">
        <v>40190</v>
      </c>
      <c r="H217" s="78">
        <v>78526</v>
      </c>
      <c r="I217" s="78">
        <v>37930</v>
      </c>
      <c r="J217" s="78">
        <v>0</v>
      </c>
      <c r="K217" s="78">
        <v>156646</v>
      </c>
      <c r="L217" s="78">
        <v>9044</v>
      </c>
      <c r="M217" s="78">
        <v>18454</v>
      </c>
      <c r="N217" s="78">
        <v>15134</v>
      </c>
      <c r="O217" s="78">
        <v>42632</v>
      </c>
      <c r="P217" s="78">
        <v>73128</v>
      </c>
      <c r="Q217" s="78">
        <v>23425</v>
      </c>
      <c r="R217" s="78">
        <v>0</v>
      </c>
      <c r="S217" s="78">
        <v>139185</v>
      </c>
      <c r="T217" s="78">
        <v>295831</v>
      </c>
      <c r="U217" s="112">
        <v>1</v>
      </c>
      <c r="V217" s="112">
        <v>1</v>
      </c>
      <c r="W217" s="78" t="s">
        <v>128</v>
      </c>
    </row>
    <row r="218" spans="1:23" s="115" customFormat="1" ht="14.45" customHeight="1" x14ac:dyDescent="0.2">
      <c r="A218" s="78" t="s">
        <v>127</v>
      </c>
      <c r="B218" s="78" t="s">
        <v>486</v>
      </c>
      <c r="C218" s="78">
        <v>26019</v>
      </c>
      <c r="D218" s="78">
        <v>860</v>
      </c>
      <c r="E218" s="78">
        <v>1353</v>
      </c>
      <c r="F218" s="78">
        <v>911</v>
      </c>
      <c r="G218" s="78">
        <v>3124</v>
      </c>
      <c r="H218" s="78">
        <v>10180</v>
      </c>
      <c r="I218" s="78">
        <v>1514</v>
      </c>
      <c r="J218" s="78">
        <v>0</v>
      </c>
      <c r="K218" s="78">
        <v>14818</v>
      </c>
      <c r="L218" s="78">
        <v>870</v>
      </c>
      <c r="M218" s="78">
        <v>1525</v>
      </c>
      <c r="N218" s="78">
        <v>972</v>
      </c>
      <c r="O218" s="78">
        <v>3367</v>
      </c>
      <c r="P218" s="78">
        <v>6950</v>
      </c>
      <c r="Q218" s="78">
        <v>884</v>
      </c>
      <c r="R218" s="78">
        <v>0</v>
      </c>
      <c r="S218" s="78">
        <v>11201</v>
      </c>
      <c r="T218" s="78">
        <v>26019</v>
      </c>
      <c r="U218" s="112">
        <v>1</v>
      </c>
      <c r="V218" s="112">
        <v>1</v>
      </c>
      <c r="W218" s="78" t="s">
        <v>128</v>
      </c>
    </row>
    <row r="219" spans="1:23" s="115" customFormat="1" ht="14.45" customHeight="1" x14ac:dyDescent="0.2">
      <c r="A219" s="78" t="s">
        <v>127</v>
      </c>
      <c r="B219" s="78" t="s">
        <v>490</v>
      </c>
      <c r="C219" s="78">
        <v>530</v>
      </c>
      <c r="D219" s="78">
        <v>0</v>
      </c>
      <c r="E219" s="78">
        <v>5</v>
      </c>
      <c r="F219" s="78">
        <v>0</v>
      </c>
      <c r="G219" s="78">
        <v>5</v>
      </c>
      <c r="H219" s="78">
        <v>208</v>
      </c>
      <c r="I219" s="78">
        <v>90</v>
      </c>
      <c r="J219" s="78">
        <v>0</v>
      </c>
      <c r="K219" s="78">
        <v>303</v>
      </c>
      <c r="L219" s="78">
        <v>0</v>
      </c>
      <c r="M219" s="78">
        <v>0</v>
      </c>
      <c r="N219" s="78">
        <v>5</v>
      </c>
      <c r="O219" s="78">
        <v>5</v>
      </c>
      <c r="P219" s="78">
        <v>171</v>
      </c>
      <c r="Q219" s="78">
        <v>51</v>
      </c>
      <c r="R219" s="78">
        <v>0</v>
      </c>
      <c r="S219" s="78">
        <v>227</v>
      </c>
      <c r="T219" s="78">
        <v>530</v>
      </c>
      <c r="U219" s="112">
        <v>1</v>
      </c>
      <c r="V219" s="112">
        <v>1</v>
      </c>
      <c r="W219" s="78" t="s">
        <v>128</v>
      </c>
    </row>
    <row r="220" spans="1:23" s="115" customFormat="1" ht="14.45" customHeight="1" x14ac:dyDescent="0.2">
      <c r="A220" s="78" t="s">
        <v>129</v>
      </c>
      <c r="B220" s="78" t="s">
        <v>487</v>
      </c>
      <c r="C220" s="78">
        <v>361493</v>
      </c>
      <c r="D220" s="78">
        <v>15120</v>
      </c>
      <c r="E220" s="78">
        <v>17314</v>
      </c>
      <c r="F220" s="78">
        <v>10663</v>
      </c>
      <c r="G220" s="78">
        <v>43097</v>
      </c>
      <c r="H220" s="78">
        <v>65777</v>
      </c>
      <c r="I220" s="78">
        <v>2325</v>
      </c>
      <c r="J220" s="78">
        <v>0</v>
      </c>
      <c r="K220" s="78">
        <v>111199</v>
      </c>
      <c r="L220" s="78">
        <v>15516</v>
      </c>
      <c r="M220" s="78">
        <v>19645</v>
      </c>
      <c r="N220" s="78">
        <v>23541</v>
      </c>
      <c r="O220" s="78">
        <v>58702</v>
      </c>
      <c r="P220" s="78">
        <v>189417</v>
      </c>
      <c r="Q220" s="78">
        <v>2175</v>
      </c>
      <c r="R220" s="78">
        <v>0</v>
      </c>
      <c r="S220" s="78">
        <v>250294</v>
      </c>
      <c r="T220" s="78">
        <v>361493</v>
      </c>
      <c r="U220" s="112">
        <v>1</v>
      </c>
      <c r="V220" s="112">
        <v>1</v>
      </c>
      <c r="W220" s="78" t="s">
        <v>130</v>
      </c>
    </row>
    <row r="221" spans="1:23" s="115" customFormat="1" ht="14.45" customHeight="1" x14ac:dyDescent="0.2">
      <c r="A221" s="78" t="s">
        <v>129</v>
      </c>
      <c r="B221" s="78" t="s">
        <v>486</v>
      </c>
      <c r="C221" s="78">
        <v>2376884</v>
      </c>
      <c r="D221" s="78">
        <v>72249</v>
      </c>
      <c r="E221" s="78">
        <v>162760</v>
      </c>
      <c r="F221" s="78">
        <v>123144</v>
      </c>
      <c r="G221" s="78">
        <v>358153</v>
      </c>
      <c r="H221" s="78">
        <v>675459</v>
      </c>
      <c r="I221" s="78">
        <v>111100</v>
      </c>
      <c r="J221" s="78">
        <v>0</v>
      </c>
      <c r="K221" s="78">
        <v>1144712</v>
      </c>
      <c r="L221" s="78">
        <v>75447</v>
      </c>
      <c r="M221" s="78">
        <v>172341</v>
      </c>
      <c r="N221" s="78">
        <v>139498</v>
      </c>
      <c r="O221" s="78">
        <v>387286</v>
      </c>
      <c r="P221" s="78">
        <v>776184</v>
      </c>
      <c r="Q221" s="78">
        <v>68641</v>
      </c>
      <c r="R221" s="78">
        <v>61</v>
      </c>
      <c r="S221" s="78">
        <v>1232172</v>
      </c>
      <c r="T221" s="78">
        <v>2593007</v>
      </c>
      <c r="U221" s="112">
        <v>0.91662806926475704</v>
      </c>
      <c r="V221" s="112">
        <v>0.91665159407591301</v>
      </c>
      <c r="W221" s="78" t="s">
        <v>130</v>
      </c>
    </row>
    <row r="222" spans="1:23" s="115" customFormat="1" ht="14.45" customHeight="1" x14ac:dyDescent="0.2">
      <c r="A222" s="78" t="s">
        <v>129</v>
      </c>
      <c r="B222" s="78" t="s">
        <v>490</v>
      </c>
      <c r="C222" s="78">
        <v>0</v>
      </c>
      <c r="D222" s="78">
        <v>0</v>
      </c>
      <c r="E222" s="78">
        <v>0</v>
      </c>
      <c r="F222" s="78">
        <v>0</v>
      </c>
      <c r="G222" s="78">
        <v>0</v>
      </c>
      <c r="H222" s="78">
        <v>0</v>
      </c>
      <c r="I222" s="78">
        <v>0</v>
      </c>
      <c r="J222" s="78">
        <v>0</v>
      </c>
      <c r="K222" s="78">
        <v>0</v>
      </c>
      <c r="L222" s="78">
        <v>0</v>
      </c>
      <c r="M222" s="78">
        <v>0</v>
      </c>
      <c r="N222" s="78">
        <v>0</v>
      </c>
      <c r="O222" s="78">
        <v>0</v>
      </c>
      <c r="P222" s="78">
        <v>0</v>
      </c>
      <c r="Q222" s="78">
        <v>0</v>
      </c>
      <c r="R222" s="78">
        <v>0</v>
      </c>
      <c r="S222" s="78">
        <v>0</v>
      </c>
      <c r="T222" s="78">
        <v>14667</v>
      </c>
      <c r="U222" s="112">
        <v>0</v>
      </c>
      <c r="V222" s="112">
        <v>0</v>
      </c>
      <c r="W222" s="78" t="s">
        <v>130</v>
      </c>
    </row>
    <row r="223" spans="1:23" s="115" customFormat="1" ht="14.45" customHeight="1" x14ac:dyDescent="0.2">
      <c r="A223" s="78" t="s">
        <v>131</v>
      </c>
      <c r="B223" s="78" t="s">
        <v>487</v>
      </c>
      <c r="C223" s="78">
        <v>4209</v>
      </c>
      <c r="D223" s="78">
        <v>271</v>
      </c>
      <c r="E223" s="78">
        <v>499</v>
      </c>
      <c r="F223" s="78">
        <v>325</v>
      </c>
      <c r="G223" s="78">
        <v>1095</v>
      </c>
      <c r="H223" s="78">
        <v>1133</v>
      </c>
      <c r="I223" s="78">
        <v>80</v>
      </c>
      <c r="J223" s="78">
        <v>0</v>
      </c>
      <c r="K223" s="78">
        <v>2308</v>
      </c>
      <c r="L223" s="78">
        <v>261</v>
      </c>
      <c r="M223" s="78">
        <v>482</v>
      </c>
      <c r="N223" s="78">
        <v>234</v>
      </c>
      <c r="O223" s="78">
        <v>977</v>
      </c>
      <c r="P223" s="78">
        <v>863</v>
      </c>
      <c r="Q223" s="78">
        <v>61</v>
      </c>
      <c r="R223" s="78">
        <v>0</v>
      </c>
      <c r="S223" s="78">
        <v>1901</v>
      </c>
      <c r="T223" s="78">
        <v>4209</v>
      </c>
      <c r="U223" s="112">
        <v>1</v>
      </c>
      <c r="V223" s="112">
        <v>1</v>
      </c>
      <c r="W223" s="78" t="s">
        <v>132</v>
      </c>
    </row>
    <row r="224" spans="1:23" s="115" customFormat="1" ht="14.45" customHeight="1" x14ac:dyDescent="0.2">
      <c r="A224" s="78" t="s">
        <v>131</v>
      </c>
      <c r="B224" s="78" t="s">
        <v>486</v>
      </c>
      <c r="C224" s="78">
        <v>7057</v>
      </c>
      <c r="D224" s="78">
        <v>70</v>
      </c>
      <c r="E224" s="78">
        <v>373</v>
      </c>
      <c r="F224" s="78">
        <v>421</v>
      </c>
      <c r="G224" s="78">
        <v>864</v>
      </c>
      <c r="H224" s="78">
        <v>2075</v>
      </c>
      <c r="I224" s="78">
        <v>173</v>
      </c>
      <c r="J224" s="78">
        <v>0</v>
      </c>
      <c r="K224" s="78">
        <v>3112</v>
      </c>
      <c r="L224" s="78">
        <v>88</v>
      </c>
      <c r="M224" s="78">
        <v>345</v>
      </c>
      <c r="N224" s="78">
        <v>467</v>
      </c>
      <c r="O224" s="78">
        <v>900</v>
      </c>
      <c r="P224" s="78">
        <v>2847</v>
      </c>
      <c r="Q224" s="78">
        <v>198</v>
      </c>
      <c r="R224" s="78">
        <v>0</v>
      </c>
      <c r="S224" s="78">
        <v>3945</v>
      </c>
      <c r="T224" s="78">
        <v>7057</v>
      </c>
      <c r="U224" s="112">
        <v>1</v>
      </c>
      <c r="V224" s="112">
        <v>1</v>
      </c>
      <c r="W224" s="78" t="s">
        <v>132</v>
      </c>
    </row>
    <row r="225" spans="1:23" s="115" customFormat="1" ht="14.45" customHeight="1" x14ac:dyDescent="0.2">
      <c r="A225" s="78" t="s">
        <v>133</v>
      </c>
      <c r="B225" s="78" t="s">
        <v>487</v>
      </c>
      <c r="C225" s="78">
        <v>32639</v>
      </c>
      <c r="D225" s="78">
        <v>0</v>
      </c>
      <c r="E225" s="78">
        <v>0</v>
      </c>
      <c r="F225" s="78">
        <v>0</v>
      </c>
      <c r="G225" s="78">
        <v>0</v>
      </c>
      <c r="H225" s="78">
        <v>0</v>
      </c>
      <c r="I225" s="78">
        <v>0</v>
      </c>
      <c r="J225" s="78">
        <v>8646</v>
      </c>
      <c r="K225" s="78">
        <v>8646</v>
      </c>
      <c r="L225" s="78">
        <v>0</v>
      </c>
      <c r="M225" s="78">
        <v>0</v>
      </c>
      <c r="N225" s="78">
        <v>0</v>
      </c>
      <c r="O225" s="78">
        <v>0</v>
      </c>
      <c r="P225" s="78">
        <v>0</v>
      </c>
      <c r="Q225" s="78">
        <v>0</v>
      </c>
      <c r="R225" s="78">
        <v>23993</v>
      </c>
      <c r="S225" s="78">
        <v>23993</v>
      </c>
      <c r="T225" s="78">
        <v>32687</v>
      </c>
      <c r="U225" s="112">
        <v>0</v>
      </c>
      <c r="V225" s="112">
        <v>0.99853152629485697</v>
      </c>
      <c r="W225" s="78" t="s">
        <v>134</v>
      </c>
    </row>
    <row r="226" spans="1:23" s="115" customFormat="1" ht="14.45" customHeight="1" x14ac:dyDescent="0.2">
      <c r="A226" s="78" t="s">
        <v>133</v>
      </c>
      <c r="B226" s="78" t="s">
        <v>491</v>
      </c>
      <c r="C226" s="78">
        <v>0</v>
      </c>
      <c r="D226" s="78">
        <v>0</v>
      </c>
      <c r="E226" s="78">
        <v>0</v>
      </c>
      <c r="F226" s="78">
        <v>0</v>
      </c>
      <c r="G226" s="78">
        <v>0</v>
      </c>
      <c r="H226" s="78">
        <v>0</v>
      </c>
      <c r="I226" s="78">
        <v>0</v>
      </c>
      <c r="J226" s="78">
        <v>0</v>
      </c>
      <c r="K226" s="78">
        <v>0</v>
      </c>
      <c r="L226" s="78">
        <v>0</v>
      </c>
      <c r="M226" s="78">
        <v>0</v>
      </c>
      <c r="N226" s="78">
        <v>0</v>
      </c>
      <c r="O226" s="78">
        <v>0</v>
      </c>
      <c r="P226" s="78">
        <v>0</v>
      </c>
      <c r="Q226" s="78">
        <v>0</v>
      </c>
      <c r="R226" s="78">
        <v>0</v>
      </c>
      <c r="S226" s="78">
        <v>0</v>
      </c>
      <c r="T226" s="78">
        <v>2722</v>
      </c>
      <c r="U226" s="112">
        <v>0</v>
      </c>
      <c r="V226" s="112">
        <v>0</v>
      </c>
      <c r="W226" s="78" t="s">
        <v>134</v>
      </c>
    </row>
    <row r="227" spans="1:23" s="115" customFormat="1" ht="14.45" customHeight="1" x14ac:dyDescent="0.2">
      <c r="A227" s="78" t="s">
        <v>133</v>
      </c>
      <c r="B227" s="78" t="s">
        <v>486</v>
      </c>
      <c r="C227" s="78">
        <v>192384</v>
      </c>
      <c r="D227" s="78">
        <v>11857</v>
      </c>
      <c r="E227" s="78">
        <v>14095</v>
      </c>
      <c r="F227" s="78">
        <v>7736</v>
      </c>
      <c r="G227" s="78">
        <v>33688</v>
      </c>
      <c r="H227" s="78">
        <v>46523</v>
      </c>
      <c r="I227" s="78">
        <v>1261</v>
      </c>
      <c r="J227" s="78">
        <v>0</v>
      </c>
      <c r="K227" s="78">
        <v>81472</v>
      </c>
      <c r="L227" s="78">
        <v>9397</v>
      </c>
      <c r="M227" s="78">
        <v>16761</v>
      </c>
      <c r="N227" s="78">
        <v>14392</v>
      </c>
      <c r="O227" s="78">
        <v>40550</v>
      </c>
      <c r="P227" s="78">
        <v>69413</v>
      </c>
      <c r="Q227" s="78">
        <v>949</v>
      </c>
      <c r="R227" s="78">
        <v>0</v>
      </c>
      <c r="S227" s="78">
        <v>110912</v>
      </c>
      <c r="T227" s="78">
        <v>192384</v>
      </c>
      <c r="U227" s="112">
        <v>1</v>
      </c>
      <c r="V227" s="112">
        <v>1</v>
      </c>
      <c r="W227" s="78" t="s">
        <v>134</v>
      </c>
    </row>
    <row r="228" spans="1:23" s="115" customFormat="1" ht="14.45" customHeight="1" x14ac:dyDescent="0.2">
      <c r="A228" s="78" t="s">
        <v>137</v>
      </c>
      <c r="B228" s="78" t="s">
        <v>487</v>
      </c>
      <c r="C228" s="78">
        <v>2051</v>
      </c>
      <c r="D228" s="78">
        <v>51</v>
      </c>
      <c r="E228" s="78">
        <v>132</v>
      </c>
      <c r="F228" s="78">
        <v>107</v>
      </c>
      <c r="G228" s="78">
        <v>290</v>
      </c>
      <c r="H228" s="78">
        <v>646</v>
      </c>
      <c r="I228" s="78">
        <v>39</v>
      </c>
      <c r="J228" s="78">
        <v>0</v>
      </c>
      <c r="K228" s="78">
        <v>975</v>
      </c>
      <c r="L228" s="78">
        <v>51</v>
      </c>
      <c r="M228" s="78">
        <v>132</v>
      </c>
      <c r="N228" s="78">
        <v>91</v>
      </c>
      <c r="O228" s="78">
        <v>274</v>
      </c>
      <c r="P228" s="78">
        <v>753</v>
      </c>
      <c r="Q228" s="78">
        <v>49</v>
      </c>
      <c r="R228" s="78">
        <v>0</v>
      </c>
      <c r="S228" s="78">
        <v>1076</v>
      </c>
      <c r="T228" s="78">
        <v>2051</v>
      </c>
      <c r="U228" s="112">
        <v>1</v>
      </c>
      <c r="V228" s="112">
        <v>1</v>
      </c>
      <c r="W228" s="78" t="s">
        <v>138</v>
      </c>
    </row>
    <row r="229" spans="1:23" s="115" customFormat="1" ht="14.45" customHeight="1" x14ac:dyDescent="0.2">
      <c r="A229" s="78" t="s">
        <v>137</v>
      </c>
      <c r="B229" s="78" t="s">
        <v>491</v>
      </c>
      <c r="C229" s="78">
        <v>148026</v>
      </c>
      <c r="D229" s="78">
        <v>6933</v>
      </c>
      <c r="E229" s="78">
        <v>10364</v>
      </c>
      <c r="F229" s="78">
        <v>8115</v>
      </c>
      <c r="G229" s="78">
        <v>25412</v>
      </c>
      <c r="H229" s="78">
        <v>38693</v>
      </c>
      <c r="I229" s="78">
        <v>4138</v>
      </c>
      <c r="J229" s="78">
        <v>0</v>
      </c>
      <c r="K229" s="78">
        <v>68243</v>
      </c>
      <c r="L229" s="78">
        <v>6624</v>
      </c>
      <c r="M229" s="78">
        <v>10142</v>
      </c>
      <c r="N229" s="78">
        <v>8674</v>
      </c>
      <c r="O229" s="78">
        <v>25440</v>
      </c>
      <c r="P229" s="78">
        <v>50281</v>
      </c>
      <c r="Q229" s="78">
        <v>4062</v>
      </c>
      <c r="R229" s="78">
        <v>0</v>
      </c>
      <c r="S229" s="78">
        <v>79783</v>
      </c>
      <c r="T229" s="78">
        <v>148026</v>
      </c>
      <c r="U229" s="112">
        <v>1</v>
      </c>
      <c r="V229" s="112">
        <v>1</v>
      </c>
      <c r="W229" s="78" t="s">
        <v>138</v>
      </c>
    </row>
    <row r="230" spans="1:23" s="115" customFormat="1" ht="14.45" customHeight="1" x14ac:dyDescent="0.2">
      <c r="A230" s="78" t="s">
        <v>137</v>
      </c>
      <c r="B230" s="78" t="s">
        <v>486</v>
      </c>
      <c r="C230" s="78">
        <v>989</v>
      </c>
      <c r="D230" s="78">
        <v>0</v>
      </c>
      <c r="E230" s="78">
        <v>64</v>
      </c>
      <c r="F230" s="78">
        <v>63</v>
      </c>
      <c r="G230" s="78">
        <v>127</v>
      </c>
      <c r="H230" s="78">
        <v>342</v>
      </c>
      <c r="I230" s="78">
        <v>32</v>
      </c>
      <c r="J230" s="78">
        <v>0</v>
      </c>
      <c r="K230" s="78">
        <v>501</v>
      </c>
      <c r="L230" s="78">
        <v>0</v>
      </c>
      <c r="M230" s="78">
        <v>71</v>
      </c>
      <c r="N230" s="78">
        <v>50</v>
      </c>
      <c r="O230" s="78">
        <v>121</v>
      </c>
      <c r="P230" s="78">
        <v>328</v>
      </c>
      <c r="Q230" s="78">
        <v>39</v>
      </c>
      <c r="R230" s="78">
        <v>0</v>
      </c>
      <c r="S230" s="78">
        <v>488</v>
      </c>
      <c r="T230" s="78">
        <v>989</v>
      </c>
      <c r="U230" s="112">
        <v>1</v>
      </c>
      <c r="V230" s="112">
        <v>1</v>
      </c>
      <c r="W230" s="78" t="s">
        <v>138</v>
      </c>
    </row>
    <row r="231" spans="1:23" s="115" customFormat="1" ht="14.45" customHeight="1" x14ac:dyDescent="0.2">
      <c r="A231" s="78" t="s">
        <v>139</v>
      </c>
      <c r="B231" s="78" t="s">
        <v>487</v>
      </c>
      <c r="C231" s="78">
        <v>54</v>
      </c>
      <c r="D231" s="78">
        <v>0</v>
      </c>
      <c r="E231" s="78">
        <v>5</v>
      </c>
      <c r="F231" s="78">
        <v>0</v>
      </c>
      <c r="G231" s="78">
        <v>5</v>
      </c>
      <c r="H231" s="78">
        <v>29</v>
      </c>
      <c r="I231" s="78">
        <v>0</v>
      </c>
      <c r="J231" s="78">
        <v>0</v>
      </c>
      <c r="K231" s="78">
        <v>34</v>
      </c>
      <c r="L231" s="78">
        <v>0</v>
      </c>
      <c r="M231" s="78">
        <v>0</v>
      </c>
      <c r="N231" s="78">
        <v>10</v>
      </c>
      <c r="O231" s="78">
        <v>10</v>
      </c>
      <c r="P231" s="78">
        <v>10</v>
      </c>
      <c r="Q231" s="78">
        <v>0</v>
      </c>
      <c r="R231" s="78">
        <v>0</v>
      </c>
      <c r="S231" s="78">
        <v>20</v>
      </c>
      <c r="T231" s="78">
        <v>54</v>
      </c>
      <c r="U231" s="112">
        <v>1</v>
      </c>
      <c r="V231" s="112">
        <v>1</v>
      </c>
      <c r="W231" s="78" t="s">
        <v>140</v>
      </c>
    </row>
    <row r="232" spans="1:23" s="115" customFormat="1" ht="14.45" customHeight="1" x14ac:dyDescent="0.2">
      <c r="A232" s="78" t="s">
        <v>139</v>
      </c>
      <c r="B232" s="78" t="s">
        <v>486</v>
      </c>
      <c r="C232" s="78">
        <v>2191</v>
      </c>
      <c r="D232" s="78">
        <v>18</v>
      </c>
      <c r="E232" s="78">
        <v>121</v>
      </c>
      <c r="F232" s="78">
        <v>150</v>
      </c>
      <c r="G232" s="78">
        <v>289</v>
      </c>
      <c r="H232" s="78">
        <v>763</v>
      </c>
      <c r="I232" s="78">
        <v>19</v>
      </c>
      <c r="J232" s="78">
        <v>0</v>
      </c>
      <c r="K232" s="78">
        <v>1071</v>
      </c>
      <c r="L232" s="78">
        <v>38</v>
      </c>
      <c r="M232" s="78">
        <v>122</v>
      </c>
      <c r="N232" s="78">
        <v>130</v>
      </c>
      <c r="O232" s="78">
        <v>290</v>
      </c>
      <c r="P232" s="78">
        <v>808</v>
      </c>
      <c r="Q232" s="78">
        <v>22</v>
      </c>
      <c r="R232" s="78">
        <v>0</v>
      </c>
      <c r="S232" s="78">
        <v>1120</v>
      </c>
      <c r="T232" s="78">
        <v>2191</v>
      </c>
      <c r="U232" s="112">
        <v>1</v>
      </c>
      <c r="V232" s="112">
        <v>1</v>
      </c>
      <c r="W232" s="78" t="s">
        <v>140</v>
      </c>
    </row>
    <row r="233" spans="1:23" s="115" customFormat="1" ht="14.45" customHeight="1" x14ac:dyDescent="0.2">
      <c r="A233" s="78" t="s">
        <v>141</v>
      </c>
      <c r="B233" s="78" t="s">
        <v>487</v>
      </c>
      <c r="C233" s="78">
        <v>30</v>
      </c>
      <c r="D233" s="78">
        <v>0</v>
      </c>
      <c r="E233" s="78">
        <v>0</v>
      </c>
      <c r="F233" s="78">
        <v>0</v>
      </c>
      <c r="G233" s="78">
        <v>0</v>
      </c>
      <c r="H233" s="78">
        <v>19</v>
      </c>
      <c r="I233" s="78">
        <v>0</v>
      </c>
      <c r="J233" s="78">
        <v>0</v>
      </c>
      <c r="K233" s="78">
        <v>19</v>
      </c>
      <c r="L233" s="78">
        <v>0</v>
      </c>
      <c r="M233" s="78">
        <v>0</v>
      </c>
      <c r="N233" s="78">
        <v>0</v>
      </c>
      <c r="O233" s="78">
        <v>0</v>
      </c>
      <c r="P233" s="78">
        <v>11</v>
      </c>
      <c r="Q233" s="78">
        <v>0</v>
      </c>
      <c r="R233" s="78">
        <v>0</v>
      </c>
      <c r="S233" s="78">
        <v>11</v>
      </c>
      <c r="T233" s="78">
        <v>30</v>
      </c>
      <c r="U233" s="112">
        <v>1</v>
      </c>
      <c r="V233" s="112">
        <v>1</v>
      </c>
      <c r="W233" s="78" t="s">
        <v>142</v>
      </c>
    </row>
    <row r="234" spans="1:23" s="115" customFormat="1" ht="14.45" customHeight="1" x14ac:dyDescent="0.2">
      <c r="A234" s="78" t="s">
        <v>141</v>
      </c>
      <c r="B234" s="78" t="s">
        <v>486</v>
      </c>
      <c r="C234" s="78">
        <v>24</v>
      </c>
      <c r="D234" s="78">
        <v>0</v>
      </c>
      <c r="E234" s="78">
        <v>0</v>
      </c>
      <c r="F234" s="78">
        <v>5</v>
      </c>
      <c r="G234" s="78">
        <v>5</v>
      </c>
      <c r="H234" s="78">
        <v>0</v>
      </c>
      <c r="I234" s="78">
        <v>0</v>
      </c>
      <c r="J234" s="78">
        <v>0</v>
      </c>
      <c r="K234" s="78">
        <v>5</v>
      </c>
      <c r="L234" s="78">
        <v>0</v>
      </c>
      <c r="M234" s="78">
        <v>0</v>
      </c>
      <c r="N234" s="78">
        <v>0</v>
      </c>
      <c r="O234" s="78">
        <v>0</v>
      </c>
      <c r="P234" s="78">
        <v>19</v>
      </c>
      <c r="Q234" s="78">
        <v>0</v>
      </c>
      <c r="R234" s="78">
        <v>0</v>
      </c>
      <c r="S234" s="78">
        <v>19</v>
      </c>
      <c r="T234" s="78">
        <v>24</v>
      </c>
      <c r="U234" s="112">
        <v>1</v>
      </c>
      <c r="V234" s="112">
        <v>1</v>
      </c>
      <c r="W234" s="78" t="s">
        <v>142</v>
      </c>
    </row>
    <row r="235" spans="1:23" s="115" customFormat="1" ht="14.45" customHeight="1" x14ac:dyDescent="0.2">
      <c r="A235" s="78" t="s">
        <v>143</v>
      </c>
      <c r="B235" s="78" t="s">
        <v>487</v>
      </c>
      <c r="C235" s="78">
        <v>55</v>
      </c>
      <c r="D235" s="78">
        <v>0</v>
      </c>
      <c r="E235" s="78">
        <v>0</v>
      </c>
      <c r="F235" s="78">
        <v>0</v>
      </c>
      <c r="G235" s="78">
        <v>0</v>
      </c>
      <c r="H235" s="78">
        <v>13</v>
      </c>
      <c r="I235" s="78">
        <v>5</v>
      </c>
      <c r="J235" s="78">
        <v>0</v>
      </c>
      <c r="K235" s="78">
        <v>18</v>
      </c>
      <c r="L235" s="78">
        <v>0</v>
      </c>
      <c r="M235" s="78">
        <v>0</v>
      </c>
      <c r="N235" s="78">
        <v>7</v>
      </c>
      <c r="O235" s="78">
        <v>7</v>
      </c>
      <c r="P235" s="78">
        <v>25</v>
      </c>
      <c r="Q235" s="78">
        <v>5</v>
      </c>
      <c r="R235" s="78">
        <v>0</v>
      </c>
      <c r="S235" s="78">
        <v>37</v>
      </c>
      <c r="T235" s="78">
        <v>55</v>
      </c>
      <c r="U235" s="112">
        <v>1</v>
      </c>
      <c r="V235" s="112">
        <v>1</v>
      </c>
      <c r="W235" s="78" t="s">
        <v>144</v>
      </c>
    </row>
    <row r="236" spans="1:23" s="115" customFormat="1" ht="14.45" customHeight="1" x14ac:dyDescent="0.2">
      <c r="A236" s="78" t="s">
        <v>143</v>
      </c>
      <c r="B236" s="78" t="s">
        <v>488</v>
      </c>
      <c r="C236" s="78">
        <v>0</v>
      </c>
      <c r="D236" s="78">
        <v>0</v>
      </c>
      <c r="E236" s="78">
        <v>0</v>
      </c>
      <c r="F236" s="78">
        <v>0</v>
      </c>
      <c r="G236" s="78">
        <v>0</v>
      </c>
      <c r="H236" s="78">
        <v>0</v>
      </c>
      <c r="I236" s="78">
        <v>0</v>
      </c>
      <c r="J236" s="78">
        <v>0</v>
      </c>
      <c r="K236" s="78">
        <v>0</v>
      </c>
      <c r="L236" s="78">
        <v>0</v>
      </c>
      <c r="M236" s="78">
        <v>0</v>
      </c>
      <c r="N236" s="78">
        <v>0</v>
      </c>
      <c r="O236" s="78">
        <v>0</v>
      </c>
      <c r="P236" s="78">
        <v>0</v>
      </c>
      <c r="Q236" s="78">
        <v>0</v>
      </c>
      <c r="R236" s="78">
        <v>0</v>
      </c>
      <c r="S236" s="78">
        <v>0</v>
      </c>
      <c r="T236" s="78">
        <v>21668</v>
      </c>
      <c r="U236" s="112">
        <v>0</v>
      </c>
      <c r="V236" s="112">
        <v>0</v>
      </c>
      <c r="W236" s="78" t="s">
        <v>144</v>
      </c>
    </row>
    <row r="237" spans="1:23" s="115" customFormat="1" ht="14.45" customHeight="1" x14ac:dyDescent="0.2">
      <c r="A237" s="78" t="s">
        <v>143</v>
      </c>
      <c r="B237" s="78" t="s">
        <v>486</v>
      </c>
      <c r="C237" s="78">
        <v>27</v>
      </c>
      <c r="D237" s="78">
        <v>0</v>
      </c>
      <c r="E237" s="78">
        <v>5</v>
      </c>
      <c r="F237" s="78">
        <v>0</v>
      </c>
      <c r="G237" s="78">
        <v>5</v>
      </c>
      <c r="H237" s="78">
        <v>5</v>
      </c>
      <c r="I237" s="78">
        <v>0</v>
      </c>
      <c r="J237" s="78">
        <v>0</v>
      </c>
      <c r="K237" s="78">
        <v>10</v>
      </c>
      <c r="L237" s="78">
        <v>0</v>
      </c>
      <c r="M237" s="78">
        <v>0</v>
      </c>
      <c r="N237" s="78">
        <v>0</v>
      </c>
      <c r="O237" s="78">
        <v>0</v>
      </c>
      <c r="P237" s="78">
        <v>17</v>
      </c>
      <c r="Q237" s="78">
        <v>0</v>
      </c>
      <c r="R237" s="78">
        <v>0</v>
      </c>
      <c r="S237" s="78">
        <v>17</v>
      </c>
      <c r="T237" s="78">
        <v>27</v>
      </c>
      <c r="U237" s="112">
        <v>1</v>
      </c>
      <c r="V237" s="112">
        <v>1</v>
      </c>
      <c r="W237" s="78" t="s">
        <v>144</v>
      </c>
    </row>
    <row r="238" spans="1:23" s="115" customFormat="1" ht="14.45" customHeight="1" x14ac:dyDescent="0.2">
      <c r="A238" s="78" t="s">
        <v>390</v>
      </c>
      <c r="B238" s="78" t="s">
        <v>489</v>
      </c>
      <c r="C238" s="78">
        <v>313901</v>
      </c>
      <c r="D238" s="78">
        <v>27115</v>
      </c>
      <c r="E238" s="78">
        <v>21286</v>
      </c>
      <c r="F238" s="78">
        <v>27693</v>
      </c>
      <c r="G238" s="78">
        <v>76094</v>
      </c>
      <c r="H238" s="78">
        <v>48374</v>
      </c>
      <c r="I238" s="78">
        <v>12796</v>
      </c>
      <c r="J238" s="78">
        <v>0</v>
      </c>
      <c r="K238" s="78">
        <v>137264</v>
      </c>
      <c r="L238" s="78">
        <v>34326</v>
      </c>
      <c r="M238" s="78">
        <v>27301</v>
      </c>
      <c r="N238" s="78">
        <v>34583</v>
      </c>
      <c r="O238" s="78">
        <v>96210</v>
      </c>
      <c r="P238" s="78">
        <v>64645</v>
      </c>
      <c r="Q238" s="78">
        <v>15782</v>
      </c>
      <c r="R238" s="78">
        <v>0</v>
      </c>
      <c r="S238" s="78">
        <v>176637</v>
      </c>
      <c r="T238" s="78">
        <v>313901</v>
      </c>
      <c r="U238" s="112">
        <v>1</v>
      </c>
      <c r="V238" s="112">
        <v>1</v>
      </c>
      <c r="W238" s="78" t="s">
        <v>391</v>
      </c>
    </row>
    <row r="239" spans="1:23" s="115" customFormat="1" ht="14.45" customHeight="1" x14ac:dyDescent="0.2">
      <c r="A239" s="78" t="s">
        <v>390</v>
      </c>
      <c r="B239" s="78" t="s">
        <v>491</v>
      </c>
      <c r="C239" s="78">
        <v>5</v>
      </c>
      <c r="D239" s="78">
        <v>0</v>
      </c>
      <c r="E239" s="78">
        <v>5</v>
      </c>
      <c r="F239" s="78">
        <v>0</v>
      </c>
      <c r="G239" s="78">
        <v>5</v>
      </c>
      <c r="H239" s="78">
        <v>0</v>
      </c>
      <c r="I239" s="78">
        <v>0</v>
      </c>
      <c r="J239" s="78">
        <v>0</v>
      </c>
      <c r="K239" s="78">
        <v>5</v>
      </c>
      <c r="L239" s="78">
        <v>0</v>
      </c>
      <c r="M239" s="78">
        <v>0</v>
      </c>
      <c r="N239" s="78">
        <v>0</v>
      </c>
      <c r="O239" s="78">
        <v>0</v>
      </c>
      <c r="P239" s="78">
        <v>0</v>
      </c>
      <c r="Q239" s="78">
        <v>0</v>
      </c>
      <c r="R239" s="78">
        <v>0</v>
      </c>
      <c r="S239" s="78">
        <v>0</v>
      </c>
      <c r="T239" s="78">
        <v>5</v>
      </c>
      <c r="U239" s="112">
        <v>1</v>
      </c>
      <c r="V239" s="112">
        <v>1</v>
      </c>
      <c r="W239" s="78" t="s">
        <v>391</v>
      </c>
    </row>
    <row r="240" spans="1:23" s="115" customFormat="1" ht="14.45" customHeight="1" x14ac:dyDescent="0.2">
      <c r="A240" s="78" t="s">
        <v>145</v>
      </c>
      <c r="B240" s="78" t="s">
        <v>487</v>
      </c>
      <c r="C240" s="78">
        <v>101</v>
      </c>
      <c r="D240" s="78">
        <v>0</v>
      </c>
      <c r="E240" s="78">
        <v>0</v>
      </c>
      <c r="F240" s="78">
        <v>0</v>
      </c>
      <c r="G240" s="78">
        <v>0</v>
      </c>
      <c r="H240" s="78">
        <v>40</v>
      </c>
      <c r="I240" s="78">
        <v>0</v>
      </c>
      <c r="J240" s="78">
        <v>0</v>
      </c>
      <c r="K240" s="78">
        <v>40</v>
      </c>
      <c r="L240" s="78">
        <v>5</v>
      </c>
      <c r="M240" s="78">
        <v>8</v>
      </c>
      <c r="N240" s="78">
        <v>0</v>
      </c>
      <c r="O240" s="78">
        <v>13</v>
      </c>
      <c r="P240" s="78">
        <v>43</v>
      </c>
      <c r="Q240" s="78">
        <v>5</v>
      </c>
      <c r="R240" s="78">
        <v>0</v>
      </c>
      <c r="S240" s="78">
        <v>61</v>
      </c>
      <c r="T240" s="78">
        <v>101</v>
      </c>
      <c r="U240" s="112">
        <v>1</v>
      </c>
      <c r="V240" s="112">
        <v>1</v>
      </c>
      <c r="W240" s="78" t="s">
        <v>146</v>
      </c>
    </row>
    <row r="241" spans="1:23" s="115" customFormat="1" ht="14.45" customHeight="1" x14ac:dyDescent="0.2">
      <c r="A241" s="78" t="s">
        <v>145</v>
      </c>
      <c r="B241" s="78" t="s">
        <v>489</v>
      </c>
      <c r="C241" s="78">
        <v>247090</v>
      </c>
      <c r="D241" s="78">
        <v>12746</v>
      </c>
      <c r="E241" s="78">
        <v>24111</v>
      </c>
      <c r="F241" s="78">
        <v>18283</v>
      </c>
      <c r="G241" s="78">
        <v>55140</v>
      </c>
      <c r="H241" s="78">
        <v>71502</v>
      </c>
      <c r="I241" s="78">
        <v>8078</v>
      </c>
      <c r="J241" s="78">
        <v>93</v>
      </c>
      <c r="K241" s="78">
        <v>134813</v>
      </c>
      <c r="L241" s="78">
        <v>14195</v>
      </c>
      <c r="M241" s="78">
        <v>19506</v>
      </c>
      <c r="N241" s="78">
        <v>16793</v>
      </c>
      <c r="O241" s="78">
        <v>50494</v>
      </c>
      <c r="P241" s="78">
        <v>54417</v>
      </c>
      <c r="Q241" s="78">
        <v>7227</v>
      </c>
      <c r="R241" s="78">
        <v>139</v>
      </c>
      <c r="S241" s="78">
        <v>112277</v>
      </c>
      <c r="T241" s="78">
        <v>247090</v>
      </c>
      <c r="U241" s="112">
        <v>0.99906107086486695</v>
      </c>
      <c r="V241" s="112">
        <v>1</v>
      </c>
      <c r="W241" s="78" t="s">
        <v>146</v>
      </c>
    </row>
    <row r="242" spans="1:23" s="115" customFormat="1" ht="14.45" customHeight="1" x14ac:dyDescent="0.2">
      <c r="A242" s="78" t="s">
        <v>145</v>
      </c>
      <c r="B242" s="78" t="s">
        <v>491</v>
      </c>
      <c r="C242" s="78">
        <v>28402</v>
      </c>
      <c r="D242" s="78">
        <v>1420</v>
      </c>
      <c r="E242" s="78">
        <v>1926</v>
      </c>
      <c r="F242" s="78">
        <v>1690</v>
      </c>
      <c r="G242" s="78">
        <v>5036</v>
      </c>
      <c r="H242" s="78">
        <v>8188</v>
      </c>
      <c r="I242" s="78">
        <v>1360</v>
      </c>
      <c r="J242" s="78">
        <v>0</v>
      </c>
      <c r="K242" s="78">
        <v>14584</v>
      </c>
      <c r="L242" s="78">
        <v>1472</v>
      </c>
      <c r="M242" s="78">
        <v>1999</v>
      </c>
      <c r="N242" s="78">
        <v>1732</v>
      </c>
      <c r="O242" s="78">
        <v>5203</v>
      </c>
      <c r="P242" s="78">
        <v>7476</v>
      </c>
      <c r="Q242" s="78">
        <v>1139</v>
      </c>
      <c r="R242" s="78">
        <v>0</v>
      </c>
      <c r="S242" s="78">
        <v>13818</v>
      </c>
      <c r="T242" s="78">
        <v>173569</v>
      </c>
      <c r="U242" s="112">
        <v>0.16363521135686701</v>
      </c>
      <c r="V242" s="112">
        <v>0.16363521135686701</v>
      </c>
      <c r="W242" s="78" t="s">
        <v>146</v>
      </c>
    </row>
    <row r="243" spans="1:23" s="115" customFormat="1" ht="14.45" customHeight="1" x14ac:dyDescent="0.2">
      <c r="A243" s="78" t="s">
        <v>145</v>
      </c>
      <c r="B243" s="78" t="s">
        <v>486</v>
      </c>
      <c r="C243" s="78">
        <v>182</v>
      </c>
      <c r="D243" s="78">
        <v>5</v>
      </c>
      <c r="E243" s="78">
        <v>5</v>
      </c>
      <c r="F243" s="78">
        <v>7</v>
      </c>
      <c r="G243" s="78">
        <v>17</v>
      </c>
      <c r="H243" s="78">
        <v>51</v>
      </c>
      <c r="I243" s="78">
        <v>0</v>
      </c>
      <c r="J243" s="78">
        <v>0</v>
      </c>
      <c r="K243" s="78">
        <v>68</v>
      </c>
      <c r="L243" s="78">
        <v>0</v>
      </c>
      <c r="M243" s="78">
        <v>7</v>
      </c>
      <c r="N243" s="78">
        <v>17</v>
      </c>
      <c r="O243" s="78">
        <v>24</v>
      </c>
      <c r="P243" s="78">
        <v>84</v>
      </c>
      <c r="Q243" s="78">
        <v>6</v>
      </c>
      <c r="R243" s="78">
        <v>0</v>
      </c>
      <c r="S243" s="78">
        <v>114</v>
      </c>
      <c r="T243" s="78">
        <v>182</v>
      </c>
      <c r="U243" s="112">
        <v>1</v>
      </c>
      <c r="V243" s="112">
        <v>1</v>
      </c>
      <c r="W243" s="78" t="s">
        <v>146</v>
      </c>
    </row>
    <row r="244" spans="1:23" s="115" customFormat="1" ht="14.45" customHeight="1" x14ac:dyDescent="0.2">
      <c r="A244" s="78" t="s">
        <v>147</v>
      </c>
      <c r="B244" s="78" t="s">
        <v>487</v>
      </c>
      <c r="C244" s="78">
        <v>5</v>
      </c>
      <c r="D244" s="78">
        <v>0</v>
      </c>
      <c r="E244" s="78">
        <v>0</v>
      </c>
      <c r="F244" s="78">
        <v>0</v>
      </c>
      <c r="G244" s="78">
        <v>0</v>
      </c>
      <c r="H244" s="78">
        <v>0</v>
      </c>
      <c r="I244" s="78">
        <v>0</v>
      </c>
      <c r="J244" s="78">
        <v>0</v>
      </c>
      <c r="K244" s="78">
        <v>0</v>
      </c>
      <c r="L244" s="78">
        <v>0</v>
      </c>
      <c r="M244" s="78">
        <v>0</v>
      </c>
      <c r="N244" s="78">
        <v>0</v>
      </c>
      <c r="O244" s="78">
        <v>0</v>
      </c>
      <c r="P244" s="78">
        <v>0</v>
      </c>
      <c r="Q244" s="78">
        <v>0</v>
      </c>
      <c r="R244" s="78">
        <v>5</v>
      </c>
      <c r="S244" s="78">
        <v>5</v>
      </c>
      <c r="T244" s="78">
        <v>5</v>
      </c>
      <c r="U244" s="112">
        <v>0</v>
      </c>
      <c r="V244" s="112">
        <v>1</v>
      </c>
      <c r="W244" s="78" t="s">
        <v>148</v>
      </c>
    </row>
    <row r="245" spans="1:23" s="115" customFormat="1" ht="14.45" customHeight="1" x14ac:dyDescent="0.2">
      <c r="A245" s="78" t="s">
        <v>147</v>
      </c>
      <c r="B245" s="78" t="s">
        <v>491</v>
      </c>
      <c r="C245" s="78">
        <v>0</v>
      </c>
      <c r="D245" s="78">
        <v>0</v>
      </c>
      <c r="E245" s="78">
        <v>0</v>
      </c>
      <c r="F245" s="78">
        <v>0</v>
      </c>
      <c r="G245" s="78">
        <v>0</v>
      </c>
      <c r="H245" s="78">
        <v>0</v>
      </c>
      <c r="I245" s="78">
        <v>0</v>
      </c>
      <c r="J245" s="78">
        <v>0</v>
      </c>
      <c r="K245" s="78">
        <v>0</v>
      </c>
      <c r="L245" s="78">
        <v>0</v>
      </c>
      <c r="M245" s="78">
        <v>0</v>
      </c>
      <c r="N245" s="78">
        <v>0</v>
      </c>
      <c r="O245" s="78">
        <v>0</v>
      </c>
      <c r="P245" s="78">
        <v>0</v>
      </c>
      <c r="Q245" s="78">
        <v>0</v>
      </c>
      <c r="R245" s="78">
        <v>0</v>
      </c>
      <c r="S245" s="78">
        <v>0</v>
      </c>
      <c r="T245" s="78">
        <v>6</v>
      </c>
      <c r="U245" s="112">
        <v>0</v>
      </c>
      <c r="V245" s="112">
        <v>0</v>
      </c>
      <c r="W245" s="78" t="s">
        <v>148</v>
      </c>
    </row>
    <row r="246" spans="1:23" s="115" customFormat="1" ht="14.45" customHeight="1" x14ac:dyDescent="0.2">
      <c r="A246" s="78" t="s">
        <v>147</v>
      </c>
      <c r="B246" s="78" t="s">
        <v>486</v>
      </c>
      <c r="C246" s="78">
        <v>39367</v>
      </c>
      <c r="D246" s="78">
        <v>0</v>
      </c>
      <c r="E246" s="78">
        <v>0</v>
      </c>
      <c r="F246" s="78">
        <v>0</v>
      </c>
      <c r="G246" s="78">
        <v>0</v>
      </c>
      <c r="H246" s="78">
        <v>0</v>
      </c>
      <c r="I246" s="78">
        <v>0</v>
      </c>
      <c r="J246" s="78">
        <v>23310</v>
      </c>
      <c r="K246" s="78">
        <v>23310</v>
      </c>
      <c r="L246" s="78">
        <v>0</v>
      </c>
      <c r="M246" s="78">
        <v>0</v>
      </c>
      <c r="N246" s="78">
        <v>0</v>
      </c>
      <c r="O246" s="78">
        <v>0</v>
      </c>
      <c r="P246" s="78">
        <v>0</v>
      </c>
      <c r="Q246" s="78">
        <v>0</v>
      </c>
      <c r="R246" s="78">
        <v>16057</v>
      </c>
      <c r="S246" s="78">
        <v>16057</v>
      </c>
      <c r="T246" s="78">
        <v>63180</v>
      </c>
      <c r="U246" s="112">
        <v>0</v>
      </c>
      <c r="V246" s="112">
        <v>0.62309275087052896</v>
      </c>
      <c r="W246" s="78" t="s">
        <v>148</v>
      </c>
    </row>
    <row r="247" spans="1:23" s="115" customFormat="1" ht="14.45" customHeight="1" x14ac:dyDescent="0.2">
      <c r="A247" s="78" t="s">
        <v>147</v>
      </c>
      <c r="B247" s="78" t="s">
        <v>490</v>
      </c>
      <c r="C247" s="78">
        <v>0</v>
      </c>
      <c r="D247" s="78">
        <v>0</v>
      </c>
      <c r="E247" s="78">
        <v>0</v>
      </c>
      <c r="F247" s="78">
        <v>0</v>
      </c>
      <c r="G247" s="78">
        <v>0</v>
      </c>
      <c r="H247" s="78">
        <v>0</v>
      </c>
      <c r="I247" s="78">
        <v>0</v>
      </c>
      <c r="J247" s="78">
        <v>0</v>
      </c>
      <c r="K247" s="78">
        <v>0</v>
      </c>
      <c r="L247" s="78">
        <v>0</v>
      </c>
      <c r="M247" s="78">
        <v>0</v>
      </c>
      <c r="N247" s="78">
        <v>0</v>
      </c>
      <c r="O247" s="78">
        <v>0</v>
      </c>
      <c r="P247" s="78">
        <v>0</v>
      </c>
      <c r="Q247" s="78">
        <v>0</v>
      </c>
      <c r="R247" s="78">
        <v>0</v>
      </c>
      <c r="S247" s="78">
        <v>0</v>
      </c>
      <c r="T247" s="78">
        <v>69</v>
      </c>
      <c r="U247" s="112">
        <v>0</v>
      </c>
      <c r="V247" s="112">
        <v>0</v>
      </c>
      <c r="W247" s="78" t="s">
        <v>148</v>
      </c>
    </row>
    <row r="248" spans="1:23" s="115" customFormat="1" ht="14.45" customHeight="1" x14ac:dyDescent="0.2">
      <c r="A248" s="78" t="s">
        <v>149</v>
      </c>
      <c r="B248" s="78" t="s">
        <v>487</v>
      </c>
      <c r="C248" s="78">
        <v>2773</v>
      </c>
      <c r="D248" s="78">
        <v>0</v>
      </c>
      <c r="E248" s="78">
        <v>0</v>
      </c>
      <c r="F248" s="78">
        <v>0</v>
      </c>
      <c r="G248" s="78">
        <v>0</v>
      </c>
      <c r="H248" s="78">
        <v>0</v>
      </c>
      <c r="I248" s="78">
        <v>0</v>
      </c>
      <c r="J248" s="78">
        <v>1291</v>
      </c>
      <c r="K248" s="78">
        <v>1291</v>
      </c>
      <c r="L248" s="78">
        <v>0</v>
      </c>
      <c r="M248" s="78">
        <v>0</v>
      </c>
      <c r="N248" s="78">
        <v>0</v>
      </c>
      <c r="O248" s="78">
        <v>0</v>
      </c>
      <c r="P248" s="78">
        <v>0</v>
      </c>
      <c r="Q248" s="78">
        <v>0</v>
      </c>
      <c r="R248" s="78">
        <v>1482</v>
      </c>
      <c r="S248" s="78">
        <v>1482</v>
      </c>
      <c r="T248" s="78">
        <v>2850</v>
      </c>
      <c r="U248" s="112">
        <v>0</v>
      </c>
      <c r="V248" s="112">
        <v>0.97298245614035095</v>
      </c>
      <c r="W248" s="78" t="s">
        <v>150</v>
      </c>
    </row>
    <row r="249" spans="1:23" s="115" customFormat="1" ht="14.45" customHeight="1" x14ac:dyDescent="0.2">
      <c r="A249" s="78" t="s">
        <v>149</v>
      </c>
      <c r="B249" s="78" t="s">
        <v>486</v>
      </c>
      <c r="C249" s="78">
        <v>0</v>
      </c>
      <c r="D249" s="78">
        <v>0</v>
      </c>
      <c r="E249" s="78">
        <v>0</v>
      </c>
      <c r="F249" s="78">
        <v>0</v>
      </c>
      <c r="G249" s="78">
        <v>0</v>
      </c>
      <c r="H249" s="78">
        <v>0</v>
      </c>
      <c r="I249" s="78">
        <v>0</v>
      </c>
      <c r="J249" s="78">
        <v>0</v>
      </c>
      <c r="K249" s="78">
        <v>0</v>
      </c>
      <c r="L249" s="78">
        <v>0</v>
      </c>
      <c r="M249" s="78">
        <v>0</v>
      </c>
      <c r="N249" s="78">
        <v>0</v>
      </c>
      <c r="O249" s="78">
        <v>0</v>
      </c>
      <c r="P249" s="78">
        <v>0</v>
      </c>
      <c r="Q249" s="78">
        <v>0</v>
      </c>
      <c r="R249" s="78">
        <v>0</v>
      </c>
      <c r="S249" s="78">
        <v>0</v>
      </c>
      <c r="T249" s="78">
        <v>8715</v>
      </c>
      <c r="U249" s="112">
        <v>0</v>
      </c>
      <c r="V249" s="112">
        <v>0</v>
      </c>
      <c r="W249" s="78" t="s">
        <v>150</v>
      </c>
    </row>
    <row r="250" spans="1:23" s="115" customFormat="1" ht="14.45" customHeight="1" x14ac:dyDescent="0.2">
      <c r="A250" s="78" t="s">
        <v>149</v>
      </c>
      <c r="B250" s="78" t="s">
        <v>490</v>
      </c>
      <c r="C250" s="78">
        <v>0</v>
      </c>
      <c r="D250" s="78">
        <v>0</v>
      </c>
      <c r="E250" s="78">
        <v>0</v>
      </c>
      <c r="F250" s="78">
        <v>0</v>
      </c>
      <c r="G250" s="78">
        <v>0</v>
      </c>
      <c r="H250" s="78">
        <v>0</v>
      </c>
      <c r="I250" s="78">
        <v>0</v>
      </c>
      <c r="J250" s="78">
        <v>0</v>
      </c>
      <c r="K250" s="78">
        <v>0</v>
      </c>
      <c r="L250" s="78">
        <v>0</v>
      </c>
      <c r="M250" s="78">
        <v>0</v>
      </c>
      <c r="N250" s="78">
        <v>0</v>
      </c>
      <c r="O250" s="78">
        <v>0</v>
      </c>
      <c r="P250" s="78">
        <v>0</v>
      </c>
      <c r="Q250" s="78">
        <v>0</v>
      </c>
      <c r="R250" s="78">
        <v>0</v>
      </c>
      <c r="S250" s="78">
        <v>0</v>
      </c>
      <c r="T250" s="78">
        <v>9</v>
      </c>
      <c r="U250" s="112">
        <v>0</v>
      </c>
      <c r="V250" s="112">
        <v>0</v>
      </c>
      <c r="W250" s="78" t="s">
        <v>150</v>
      </c>
    </row>
    <row r="251" spans="1:23" s="115" customFormat="1" ht="14.45" customHeight="1" x14ac:dyDescent="0.2">
      <c r="A251" s="78" t="s">
        <v>151</v>
      </c>
      <c r="B251" s="78" t="s">
        <v>487</v>
      </c>
      <c r="C251" s="78">
        <v>11926</v>
      </c>
      <c r="D251" s="78">
        <v>395</v>
      </c>
      <c r="E251" s="78">
        <v>447</v>
      </c>
      <c r="F251" s="78">
        <v>483</v>
      </c>
      <c r="G251" s="78">
        <v>1325</v>
      </c>
      <c r="H251" s="78">
        <v>3346</v>
      </c>
      <c r="I251" s="78">
        <v>138</v>
      </c>
      <c r="J251" s="78">
        <v>0</v>
      </c>
      <c r="K251" s="78">
        <v>4809</v>
      </c>
      <c r="L251" s="78">
        <v>406</v>
      </c>
      <c r="M251" s="78">
        <v>492</v>
      </c>
      <c r="N251" s="78">
        <v>510</v>
      </c>
      <c r="O251" s="78">
        <v>1408</v>
      </c>
      <c r="P251" s="78">
        <v>5548</v>
      </c>
      <c r="Q251" s="78">
        <v>161</v>
      </c>
      <c r="R251" s="78">
        <v>0</v>
      </c>
      <c r="S251" s="78">
        <v>7117</v>
      </c>
      <c r="T251" s="78">
        <v>11926</v>
      </c>
      <c r="U251" s="112">
        <v>1</v>
      </c>
      <c r="V251" s="112">
        <v>1</v>
      </c>
      <c r="W251" s="78" t="s">
        <v>152</v>
      </c>
    </row>
    <row r="252" spans="1:23" s="115" customFormat="1" ht="14.45" customHeight="1" x14ac:dyDescent="0.2">
      <c r="A252" s="78" t="s">
        <v>151</v>
      </c>
      <c r="B252" s="78" t="s">
        <v>486</v>
      </c>
      <c r="C252" s="78">
        <v>92738</v>
      </c>
      <c r="D252" s="78">
        <v>1966</v>
      </c>
      <c r="E252" s="78">
        <v>3218</v>
      </c>
      <c r="F252" s="78">
        <v>1981</v>
      </c>
      <c r="G252" s="78">
        <v>7165</v>
      </c>
      <c r="H252" s="78">
        <v>9136</v>
      </c>
      <c r="I252" s="78">
        <v>576</v>
      </c>
      <c r="J252" s="78">
        <v>29901</v>
      </c>
      <c r="K252" s="78">
        <v>46778</v>
      </c>
      <c r="L252" s="78">
        <v>2064</v>
      </c>
      <c r="M252" s="78">
        <v>3321</v>
      </c>
      <c r="N252" s="78">
        <v>2178</v>
      </c>
      <c r="O252" s="78">
        <v>7563</v>
      </c>
      <c r="P252" s="78">
        <v>9587</v>
      </c>
      <c r="Q252" s="78">
        <v>607</v>
      </c>
      <c r="R252" s="78">
        <v>28203</v>
      </c>
      <c r="S252" s="78">
        <v>45960</v>
      </c>
      <c r="T252" s="78">
        <v>252867</v>
      </c>
      <c r="U252" s="112">
        <v>0.13696528214436801</v>
      </c>
      <c r="V252" s="112">
        <v>0.36674615509338898</v>
      </c>
      <c r="W252" s="78" t="s">
        <v>152</v>
      </c>
    </row>
    <row r="253" spans="1:23" s="115" customFormat="1" ht="14.45" customHeight="1" x14ac:dyDescent="0.2">
      <c r="A253" s="78" t="s">
        <v>392</v>
      </c>
      <c r="B253" s="78" t="s">
        <v>487</v>
      </c>
      <c r="C253" s="78">
        <v>3793</v>
      </c>
      <c r="D253" s="78">
        <v>141</v>
      </c>
      <c r="E253" s="78">
        <v>238</v>
      </c>
      <c r="F253" s="78">
        <v>356</v>
      </c>
      <c r="G253" s="78">
        <v>735</v>
      </c>
      <c r="H253" s="78">
        <v>999</v>
      </c>
      <c r="I253" s="78">
        <v>34</v>
      </c>
      <c r="J253" s="78">
        <v>0</v>
      </c>
      <c r="K253" s="78">
        <v>1768</v>
      </c>
      <c r="L253" s="78">
        <v>147</v>
      </c>
      <c r="M253" s="78">
        <v>305</v>
      </c>
      <c r="N253" s="78">
        <v>316</v>
      </c>
      <c r="O253" s="78">
        <v>768</v>
      </c>
      <c r="P253" s="78">
        <v>1226</v>
      </c>
      <c r="Q253" s="78">
        <v>31</v>
      </c>
      <c r="R253" s="78">
        <v>0</v>
      </c>
      <c r="S253" s="78">
        <v>2025</v>
      </c>
      <c r="T253" s="78">
        <v>3793</v>
      </c>
      <c r="U253" s="112">
        <v>1</v>
      </c>
      <c r="V253" s="112">
        <v>1</v>
      </c>
      <c r="W253" s="78" t="s">
        <v>153</v>
      </c>
    </row>
    <row r="254" spans="1:23" s="115" customFormat="1" ht="14.45" customHeight="1" x14ac:dyDescent="0.2">
      <c r="A254" s="78" t="s">
        <v>392</v>
      </c>
      <c r="B254" s="78" t="s">
        <v>491</v>
      </c>
      <c r="C254" s="78">
        <v>176</v>
      </c>
      <c r="D254" s="78">
        <v>10</v>
      </c>
      <c r="E254" s="78">
        <v>22</v>
      </c>
      <c r="F254" s="78">
        <v>10</v>
      </c>
      <c r="G254" s="78">
        <v>42</v>
      </c>
      <c r="H254" s="78">
        <v>86</v>
      </c>
      <c r="I254" s="78">
        <v>0</v>
      </c>
      <c r="J254" s="78">
        <v>0</v>
      </c>
      <c r="K254" s="78">
        <v>128</v>
      </c>
      <c r="L254" s="78">
        <v>11</v>
      </c>
      <c r="M254" s="78">
        <v>27</v>
      </c>
      <c r="N254" s="78">
        <v>10</v>
      </c>
      <c r="O254" s="78">
        <v>48</v>
      </c>
      <c r="P254" s="78">
        <v>0</v>
      </c>
      <c r="Q254" s="78">
        <v>0</v>
      </c>
      <c r="R254" s="78">
        <v>0</v>
      </c>
      <c r="S254" s="78">
        <v>48</v>
      </c>
      <c r="T254" s="78">
        <v>176</v>
      </c>
      <c r="U254" s="112">
        <v>1</v>
      </c>
      <c r="V254" s="112">
        <v>1</v>
      </c>
      <c r="W254" s="78" t="s">
        <v>153</v>
      </c>
    </row>
    <row r="255" spans="1:23" s="115" customFormat="1" ht="14.45" customHeight="1" x14ac:dyDescent="0.2">
      <c r="A255" s="78" t="s">
        <v>392</v>
      </c>
      <c r="B255" s="78" t="s">
        <v>492</v>
      </c>
      <c r="C255" s="78">
        <v>0</v>
      </c>
      <c r="D255" s="78">
        <v>0</v>
      </c>
      <c r="E255" s="78">
        <v>0</v>
      </c>
      <c r="F255" s="78">
        <v>0</v>
      </c>
      <c r="G255" s="78">
        <v>0</v>
      </c>
      <c r="H255" s="78">
        <v>0</v>
      </c>
      <c r="I255" s="78">
        <v>0</v>
      </c>
      <c r="J255" s="78">
        <v>0</v>
      </c>
      <c r="K255" s="78">
        <v>0</v>
      </c>
      <c r="L255" s="78">
        <v>0</v>
      </c>
      <c r="M255" s="78">
        <v>0</v>
      </c>
      <c r="N255" s="78">
        <v>0</v>
      </c>
      <c r="O255" s="78">
        <v>0</v>
      </c>
      <c r="P255" s="78">
        <v>0</v>
      </c>
      <c r="Q255" s="78">
        <v>0</v>
      </c>
      <c r="R255" s="78">
        <v>0</v>
      </c>
      <c r="S255" s="78">
        <v>0</v>
      </c>
      <c r="T255" s="78">
        <v>5</v>
      </c>
      <c r="U255" s="112">
        <v>0</v>
      </c>
      <c r="V255" s="112">
        <v>0</v>
      </c>
      <c r="W255" s="78" t="s">
        <v>153</v>
      </c>
    </row>
    <row r="256" spans="1:23" s="115" customFormat="1" ht="14.45" customHeight="1" x14ac:dyDescent="0.2">
      <c r="A256" s="78" t="s">
        <v>392</v>
      </c>
      <c r="B256" s="78" t="s">
        <v>486</v>
      </c>
      <c r="C256" s="78">
        <v>8450</v>
      </c>
      <c r="D256" s="78">
        <v>293</v>
      </c>
      <c r="E256" s="78">
        <v>452</v>
      </c>
      <c r="F256" s="78">
        <v>315</v>
      </c>
      <c r="G256" s="78">
        <v>1060</v>
      </c>
      <c r="H256" s="78">
        <v>1395</v>
      </c>
      <c r="I256" s="78">
        <v>55</v>
      </c>
      <c r="J256" s="78">
        <v>0</v>
      </c>
      <c r="K256" s="78">
        <v>2510</v>
      </c>
      <c r="L256" s="78">
        <v>318</v>
      </c>
      <c r="M256" s="78">
        <v>494</v>
      </c>
      <c r="N256" s="78">
        <v>323</v>
      </c>
      <c r="O256" s="78">
        <v>1135</v>
      </c>
      <c r="P256" s="78">
        <v>4753</v>
      </c>
      <c r="Q256" s="78">
        <v>52</v>
      </c>
      <c r="R256" s="78">
        <v>0</v>
      </c>
      <c r="S256" s="78">
        <v>5940</v>
      </c>
      <c r="T256" s="78">
        <v>8450</v>
      </c>
      <c r="U256" s="112">
        <v>1</v>
      </c>
      <c r="V256" s="112">
        <v>1</v>
      </c>
      <c r="W256" s="78" t="s">
        <v>153</v>
      </c>
    </row>
    <row r="257" spans="1:23" s="115" customFormat="1" ht="14.45" customHeight="1" x14ac:dyDescent="0.2">
      <c r="A257" s="78" t="s">
        <v>393</v>
      </c>
      <c r="B257" s="78" t="s">
        <v>492</v>
      </c>
      <c r="C257" s="78">
        <v>0</v>
      </c>
      <c r="D257" s="78">
        <v>0</v>
      </c>
      <c r="E257" s="78">
        <v>0</v>
      </c>
      <c r="F257" s="78">
        <v>0</v>
      </c>
      <c r="G257" s="78">
        <v>0</v>
      </c>
      <c r="H257" s="78">
        <v>0</v>
      </c>
      <c r="I257" s="78">
        <v>0</v>
      </c>
      <c r="J257" s="78">
        <v>0</v>
      </c>
      <c r="K257" s="78">
        <v>0</v>
      </c>
      <c r="L257" s="78">
        <v>0</v>
      </c>
      <c r="M257" s="78">
        <v>0</v>
      </c>
      <c r="N257" s="78">
        <v>0</v>
      </c>
      <c r="O257" s="78">
        <v>0</v>
      </c>
      <c r="P257" s="78">
        <v>0</v>
      </c>
      <c r="Q257" s="78">
        <v>0</v>
      </c>
      <c r="R257" s="78">
        <v>0</v>
      </c>
      <c r="S257" s="78">
        <v>0</v>
      </c>
      <c r="T257" s="78">
        <v>24</v>
      </c>
      <c r="U257" s="112">
        <v>0</v>
      </c>
      <c r="V257" s="112">
        <v>0</v>
      </c>
      <c r="W257" s="78" t="s">
        <v>154</v>
      </c>
    </row>
    <row r="258" spans="1:23" s="115" customFormat="1" ht="14.45" customHeight="1" x14ac:dyDescent="0.2">
      <c r="A258" s="78" t="s">
        <v>393</v>
      </c>
      <c r="B258" s="78" t="s">
        <v>486</v>
      </c>
      <c r="C258" s="78">
        <v>3764517</v>
      </c>
      <c r="D258" s="78">
        <v>257036</v>
      </c>
      <c r="E258" s="78">
        <v>429782</v>
      </c>
      <c r="F258" s="78">
        <v>286577</v>
      </c>
      <c r="G258" s="78">
        <v>973395</v>
      </c>
      <c r="H258" s="78">
        <v>883779</v>
      </c>
      <c r="I258" s="78">
        <v>105938</v>
      </c>
      <c r="J258" s="78">
        <v>0</v>
      </c>
      <c r="K258" s="78">
        <v>1963112</v>
      </c>
      <c r="L258" s="78">
        <v>263305</v>
      </c>
      <c r="M258" s="78">
        <v>419864</v>
      </c>
      <c r="N258" s="78">
        <v>248566</v>
      </c>
      <c r="O258" s="78">
        <v>931735</v>
      </c>
      <c r="P258" s="78">
        <v>730500</v>
      </c>
      <c r="Q258" s="78">
        <v>139170</v>
      </c>
      <c r="R258" s="78">
        <v>0</v>
      </c>
      <c r="S258" s="78">
        <v>1801405</v>
      </c>
      <c r="T258" s="78">
        <v>3764517</v>
      </c>
      <c r="U258" s="112">
        <v>1</v>
      </c>
      <c r="V258" s="112">
        <v>1</v>
      </c>
      <c r="W258" s="78" t="s">
        <v>154</v>
      </c>
    </row>
    <row r="259" spans="1:23" s="115" customFormat="1" ht="14.45" customHeight="1" x14ac:dyDescent="0.2">
      <c r="A259" s="78" t="s">
        <v>451</v>
      </c>
      <c r="B259" s="78" t="s">
        <v>487</v>
      </c>
      <c r="C259" s="78">
        <v>12586</v>
      </c>
      <c r="D259" s="78">
        <v>368</v>
      </c>
      <c r="E259" s="78">
        <v>819</v>
      </c>
      <c r="F259" s="78">
        <v>709</v>
      </c>
      <c r="G259" s="78">
        <v>1896</v>
      </c>
      <c r="H259" s="78">
        <v>3183</v>
      </c>
      <c r="I259" s="78">
        <v>170</v>
      </c>
      <c r="J259" s="78">
        <v>0</v>
      </c>
      <c r="K259" s="78">
        <v>5249</v>
      </c>
      <c r="L259" s="78">
        <v>365</v>
      </c>
      <c r="M259" s="78">
        <v>856</v>
      </c>
      <c r="N259" s="78">
        <v>779</v>
      </c>
      <c r="O259" s="78">
        <v>2000</v>
      </c>
      <c r="P259" s="78">
        <v>4669</v>
      </c>
      <c r="Q259" s="78">
        <v>668</v>
      </c>
      <c r="R259" s="78">
        <v>0</v>
      </c>
      <c r="S259" s="78">
        <v>7337</v>
      </c>
      <c r="T259" s="78">
        <v>12586</v>
      </c>
      <c r="U259" s="112">
        <v>1</v>
      </c>
      <c r="V259" s="112">
        <v>1</v>
      </c>
      <c r="W259" s="78" t="s">
        <v>155</v>
      </c>
    </row>
    <row r="260" spans="1:23" s="115" customFormat="1" ht="14.45" customHeight="1" x14ac:dyDescent="0.2">
      <c r="A260" s="78" t="s">
        <v>451</v>
      </c>
      <c r="B260" s="78" t="s">
        <v>493</v>
      </c>
      <c r="C260" s="78">
        <v>0</v>
      </c>
      <c r="D260" s="78">
        <v>0</v>
      </c>
      <c r="E260" s="78">
        <v>0</v>
      </c>
      <c r="F260" s="78">
        <v>0</v>
      </c>
      <c r="G260" s="78">
        <v>0</v>
      </c>
      <c r="H260" s="78">
        <v>0</v>
      </c>
      <c r="I260" s="78">
        <v>0</v>
      </c>
      <c r="J260" s="78">
        <v>0</v>
      </c>
      <c r="K260" s="78">
        <v>0</v>
      </c>
      <c r="L260" s="78">
        <v>0</v>
      </c>
      <c r="M260" s="78">
        <v>0</v>
      </c>
      <c r="N260" s="78">
        <v>0</v>
      </c>
      <c r="O260" s="78">
        <v>0</v>
      </c>
      <c r="P260" s="78">
        <v>0</v>
      </c>
      <c r="Q260" s="78">
        <v>0</v>
      </c>
      <c r="R260" s="78">
        <v>0</v>
      </c>
      <c r="S260" s="78">
        <v>0</v>
      </c>
      <c r="T260" s="78">
        <v>27288</v>
      </c>
      <c r="U260" s="112">
        <v>0</v>
      </c>
      <c r="V260" s="112">
        <v>0</v>
      </c>
      <c r="W260" s="78" t="s">
        <v>155</v>
      </c>
    </row>
    <row r="261" spans="1:23" s="115" customFormat="1" ht="14.45" customHeight="1" x14ac:dyDescent="0.2">
      <c r="A261" s="78" t="s">
        <v>451</v>
      </c>
      <c r="B261" s="78" t="s">
        <v>489</v>
      </c>
      <c r="C261" s="78">
        <v>0</v>
      </c>
      <c r="D261" s="78">
        <v>0</v>
      </c>
      <c r="E261" s="78">
        <v>0</v>
      </c>
      <c r="F261" s="78">
        <v>0</v>
      </c>
      <c r="G261" s="78">
        <v>0</v>
      </c>
      <c r="H261" s="78">
        <v>0</v>
      </c>
      <c r="I261" s="78">
        <v>0</v>
      </c>
      <c r="J261" s="78">
        <v>0</v>
      </c>
      <c r="K261" s="78">
        <v>0</v>
      </c>
      <c r="L261" s="78">
        <v>0</v>
      </c>
      <c r="M261" s="78">
        <v>0</v>
      </c>
      <c r="N261" s="78">
        <v>0</v>
      </c>
      <c r="O261" s="78">
        <v>0</v>
      </c>
      <c r="P261" s="78">
        <v>0</v>
      </c>
      <c r="Q261" s="78">
        <v>0</v>
      </c>
      <c r="R261" s="78">
        <v>0</v>
      </c>
      <c r="S261" s="78">
        <v>0</v>
      </c>
      <c r="T261" s="78">
        <v>1123663</v>
      </c>
      <c r="U261" s="112">
        <v>0</v>
      </c>
      <c r="V261" s="112">
        <v>0</v>
      </c>
      <c r="W261" s="78" t="s">
        <v>155</v>
      </c>
    </row>
    <row r="262" spans="1:23" s="115" customFormat="1" ht="14.45" customHeight="1" x14ac:dyDescent="0.2">
      <c r="A262" s="78" t="s">
        <v>451</v>
      </c>
      <c r="B262" s="78" t="s">
        <v>491</v>
      </c>
      <c r="C262" s="78">
        <v>2538</v>
      </c>
      <c r="D262" s="78">
        <v>108</v>
      </c>
      <c r="E262" s="78">
        <v>293</v>
      </c>
      <c r="F262" s="78">
        <v>172</v>
      </c>
      <c r="G262" s="78">
        <v>573</v>
      </c>
      <c r="H262" s="78">
        <v>745</v>
      </c>
      <c r="I262" s="78">
        <v>32</v>
      </c>
      <c r="J262" s="78">
        <v>0</v>
      </c>
      <c r="K262" s="78">
        <v>1350</v>
      </c>
      <c r="L262" s="78">
        <v>143</v>
      </c>
      <c r="M262" s="78">
        <v>270</v>
      </c>
      <c r="N262" s="78">
        <v>141</v>
      </c>
      <c r="O262" s="78">
        <v>554</v>
      </c>
      <c r="P262" s="78">
        <v>595</v>
      </c>
      <c r="Q262" s="78">
        <v>39</v>
      </c>
      <c r="R262" s="78">
        <v>0</v>
      </c>
      <c r="S262" s="78">
        <v>1188</v>
      </c>
      <c r="T262" s="78">
        <v>2538</v>
      </c>
      <c r="U262" s="112">
        <v>1</v>
      </c>
      <c r="V262" s="112">
        <v>1</v>
      </c>
      <c r="W262" s="78" t="s">
        <v>155</v>
      </c>
    </row>
    <row r="263" spans="1:23" s="115" customFormat="1" ht="14.45" customHeight="1" x14ac:dyDescent="0.2">
      <c r="A263" s="78" t="s">
        <v>451</v>
      </c>
      <c r="B263" s="78" t="s">
        <v>492</v>
      </c>
      <c r="C263" s="78">
        <v>0</v>
      </c>
      <c r="D263" s="78">
        <v>0</v>
      </c>
      <c r="E263" s="78">
        <v>0</v>
      </c>
      <c r="F263" s="78">
        <v>0</v>
      </c>
      <c r="G263" s="78">
        <v>0</v>
      </c>
      <c r="H263" s="78">
        <v>0</v>
      </c>
      <c r="I263" s="78">
        <v>0</v>
      </c>
      <c r="J263" s="78">
        <v>0</v>
      </c>
      <c r="K263" s="78">
        <v>0</v>
      </c>
      <c r="L263" s="78">
        <v>0</v>
      </c>
      <c r="M263" s="78">
        <v>0</v>
      </c>
      <c r="N263" s="78">
        <v>0</v>
      </c>
      <c r="O263" s="78">
        <v>0</v>
      </c>
      <c r="P263" s="78">
        <v>0</v>
      </c>
      <c r="Q263" s="78">
        <v>0</v>
      </c>
      <c r="R263" s="78">
        <v>0</v>
      </c>
      <c r="S263" s="78">
        <v>0</v>
      </c>
      <c r="T263" s="78">
        <v>154</v>
      </c>
      <c r="U263" s="112">
        <v>0</v>
      </c>
      <c r="V263" s="112">
        <v>0</v>
      </c>
      <c r="W263" s="78" t="s">
        <v>155</v>
      </c>
    </row>
    <row r="264" spans="1:23" s="115" customFormat="1" ht="14.45" customHeight="1" x14ac:dyDescent="0.2">
      <c r="A264" s="78" t="s">
        <v>451</v>
      </c>
      <c r="B264" s="78" t="s">
        <v>486</v>
      </c>
      <c r="C264" s="78">
        <v>286480</v>
      </c>
      <c r="D264" s="78">
        <v>19271</v>
      </c>
      <c r="E264" s="78">
        <v>27080</v>
      </c>
      <c r="F264" s="78">
        <v>14152</v>
      </c>
      <c r="G264" s="78">
        <v>60503</v>
      </c>
      <c r="H264" s="78">
        <v>68596</v>
      </c>
      <c r="I264" s="78">
        <v>5961</v>
      </c>
      <c r="J264" s="78">
        <v>0</v>
      </c>
      <c r="K264" s="78">
        <v>135060</v>
      </c>
      <c r="L264" s="78">
        <v>20243</v>
      </c>
      <c r="M264" s="78">
        <v>28633</v>
      </c>
      <c r="N264" s="78">
        <v>15040</v>
      </c>
      <c r="O264" s="78">
        <v>63916</v>
      </c>
      <c r="P264" s="78">
        <v>82649</v>
      </c>
      <c r="Q264" s="78">
        <v>4855</v>
      </c>
      <c r="R264" s="78">
        <v>0</v>
      </c>
      <c r="S264" s="78">
        <v>151420</v>
      </c>
      <c r="T264" s="78">
        <v>286480</v>
      </c>
      <c r="U264" s="112">
        <v>1</v>
      </c>
      <c r="V264" s="112">
        <v>1</v>
      </c>
      <c r="W264" s="78" t="s">
        <v>155</v>
      </c>
    </row>
    <row r="265" spans="1:23" s="115" customFormat="1" ht="14.45" customHeight="1" x14ac:dyDescent="0.2">
      <c r="A265" s="78" t="s">
        <v>451</v>
      </c>
      <c r="B265" s="78" t="s">
        <v>490</v>
      </c>
      <c r="C265" s="78">
        <v>0</v>
      </c>
      <c r="D265" s="78">
        <v>0</v>
      </c>
      <c r="E265" s="78">
        <v>0</v>
      </c>
      <c r="F265" s="78">
        <v>0</v>
      </c>
      <c r="G265" s="78">
        <v>0</v>
      </c>
      <c r="H265" s="78">
        <v>0</v>
      </c>
      <c r="I265" s="78">
        <v>0</v>
      </c>
      <c r="J265" s="78">
        <v>0</v>
      </c>
      <c r="K265" s="78">
        <v>0</v>
      </c>
      <c r="L265" s="78">
        <v>0</v>
      </c>
      <c r="M265" s="78">
        <v>0</v>
      </c>
      <c r="N265" s="78">
        <v>0</v>
      </c>
      <c r="O265" s="78">
        <v>0</v>
      </c>
      <c r="P265" s="78">
        <v>0</v>
      </c>
      <c r="Q265" s="78">
        <v>0</v>
      </c>
      <c r="R265" s="78">
        <v>0</v>
      </c>
      <c r="S265" s="78">
        <v>0</v>
      </c>
      <c r="T265" s="78">
        <v>233</v>
      </c>
      <c r="U265" s="112">
        <v>0</v>
      </c>
      <c r="V265" s="112">
        <v>0</v>
      </c>
      <c r="W265" s="78" t="s">
        <v>155</v>
      </c>
    </row>
    <row r="266" spans="1:23" s="115" customFormat="1" ht="14.45" customHeight="1" x14ac:dyDescent="0.2">
      <c r="A266" s="78" t="s">
        <v>156</v>
      </c>
      <c r="B266" s="78" t="s">
        <v>487</v>
      </c>
      <c r="C266" s="78">
        <v>21980</v>
      </c>
      <c r="D266" s="78">
        <v>605</v>
      </c>
      <c r="E266" s="78">
        <v>788</v>
      </c>
      <c r="F266" s="78">
        <v>553</v>
      </c>
      <c r="G266" s="78">
        <v>1946</v>
      </c>
      <c r="H266" s="78">
        <v>5329</v>
      </c>
      <c r="I266" s="78">
        <v>150</v>
      </c>
      <c r="J266" s="78">
        <v>0</v>
      </c>
      <c r="K266" s="78">
        <v>7425</v>
      </c>
      <c r="L266" s="78">
        <v>669</v>
      </c>
      <c r="M266" s="78">
        <v>816</v>
      </c>
      <c r="N266" s="78">
        <v>627</v>
      </c>
      <c r="O266" s="78">
        <v>2112</v>
      </c>
      <c r="P266" s="78">
        <v>12338</v>
      </c>
      <c r="Q266" s="78">
        <v>105</v>
      </c>
      <c r="R266" s="78">
        <v>0</v>
      </c>
      <c r="S266" s="78">
        <v>14555</v>
      </c>
      <c r="T266" s="78">
        <v>22250</v>
      </c>
      <c r="U266" s="112">
        <v>0.98786516853932604</v>
      </c>
      <c r="V266" s="112">
        <v>0.98786516853932604</v>
      </c>
      <c r="W266" s="78" t="s">
        <v>157</v>
      </c>
    </row>
    <row r="267" spans="1:23" s="115" customFormat="1" ht="14.45" customHeight="1" x14ac:dyDescent="0.2">
      <c r="A267" s="78" t="s">
        <v>156</v>
      </c>
      <c r="B267" s="78" t="s">
        <v>486</v>
      </c>
      <c r="C267" s="78">
        <v>111906</v>
      </c>
      <c r="D267" s="78">
        <v>2560</v>
      </c>
      <c r="E267" s="78">
        <v>6609</v>
      </c>
      <c r="F267" s="78">
        <v>5487</v>
      </c>
      <c r="G267" s="78">
        <v>14656</v>
      </c>
      <c r="H267" s="78">
        <v>42849</v>
      </c>
      <c r="I267" s="78">
        <v>8443</v>
      </c>
      <c r="J267" s="78">
        <v>0</v>
      </c>
      <c r="K267" s="78">
        <v>65948</v>
      </c>
      <c r="L267" s="78">
        <v>2665</v>
      </c>
      <c r="M267" s="78">
        <v>6892</v>
      </c>
      <c r="N267" s="78">
        <v>6143</v>
      </c>
      <c r="O267" s="78">
        <v>15700</v>
      </c>
      <c r="P267" s="78">
        <v>26207</v>
      </c>
      <c r="Q267" s="78">
        <v>4051</v>
      </c>
      <c r="R267" s="78">
        <v>0</v>
      </c>
      <c r="S267" s="78">
        <v>45958</v>
      </c>
      <c r="T267" s="78">
        <v>113902</v>
      </c>
      <c r="U267" s="112">
        <v>0.98247616371968904</v>
      </c>
      <c r="V267" s="112">
        <v>0.98247616371968904</v>
      </c>
      <c r="W267" s="78" t="s">
        <v>157</v>
      </c>
    </row>
    <row r="268" spans="1:23" s="115" customFormat="1" ht="14.45" customHeight="1" x14ac:dyDescent="0.2">
      <c r="A268" s="78" t="s">
        <v>158</v>
      </c>
      <c r="B268" s="78" t="s">
        <v>487</v>
      </c>
      <c r="C268" s="78">
        <v>0</v>
      </c>
      <c r="D268" s="78">
        <v>0</v>
      </c>
      <c r="E268" s="78">
        <v>0</v>
      </c>
      <c r="F268" s="78">
        <v>0</v>
      </c>
      <c r="G268" s="78">
        <v>0</v>
      </c>
      <c r="H268" s="78">
        <v>0</v>
      </c>
      <c r="I268" s="78">
        <v>0</v>
      </c>
      <c r="J268" s="78">
        <v>0</v>
      </c>
      <c r="K268" s="78">
        <v>0</v>
      </c>
      <c r="L268" s="78">
        <v>0</v>
      </c>
      <c r="M268" s="78">
        <v>0</v>
      </c>
      <c r="N268" s="78">
        <v>0</v>
      </c>
      <c r="O268" s="78">
        <v>0</v>
      </c>
      <c r="P268" s="78">
        <v>0</v>
      </c>
      <c r="Q268" s="78">
        <v>0</v>
      </c>
      <c r="R268" s="78">
        <v>0</v>
      </c>
      <c r="S268" s="78">
        <v>0</v>
      </c>
      <c r="T268" s="78">
        <v>25464</v>
      </c>
      <c r="U268" s="112">
        <v>0</v>
      </c>
      <c r="V268" s="112">
        <v>0</v>
      </c>
      <c r="W268" s="78" t="s">
        <v>159</v>
      </c>
    </row>
    <row r="269" spans="1:23" s="115" customFormat="1" ht="14.45" customHeight="1" x14ac:dyDescent="0.2">
      <c r="A269" s="78" t="s">
        <v>158</v>
      </c>
      <c r="B269" s="78" t="s">
        <v>491</v>
      </c>
      <c r="C269" s="78">
        <v>0</v>
      </c>
      <c r="D269" s="78">
        <v>0</v>
      </c>
      <c r="E269" s="78">
        <v>0</v>
      </c>
      <c r="F269" s="78">
        <v>0</v>
      </c>
      <c r="G269" s="78">
        <v>0</v>
      </c>
      <c r="H269" s="78">
        <v>0</v>
      </c>
      <c r="I269" s="78">
        <v>0</v>
      </c>
      <c r="J269" s="78">
        <v>0</v>
      </c>
      <c r="K269" s="78">
        <v>0</v>
      </c>
      <c r="L269" s="78">
        <v>0</v>
      </c>
      <c r="M269" s="78">
        <v>0</v>
      </c>
      <c r="N269" s="78">
        <v>0</v>
      </c>
      <c r="O269" s="78">
        <v>0</v>
      </c>
      <c r="P269" s="78">
        <v>0</v>
      </c>
      <c r="Q269" s="78">
        <v>0</v>
      </c>
      <c r="R269" s="78">
        <v>0</v>
      </c>
      <c r="S269" s="78">
        <v>0</v>
      </c>
      <c r="T269" s="78">
        <v>40477</v>
      </c>
      <c r="U269" s="112">
        <v>0</v>
      </c>
      <c r="V269" s="112">
        <v>0</v>
      </c>
      <c r="W269" s="78" t="s">
        <v>159</v>
      </c>
    </row>
    <row r="270" spans="1:23" s="115" customFormat="1" ht="14.45" customHeight="1" x14ac:dyDescent="0.2">
      <c r="A270" s="78" t="s">
        <v>158</v>
      </c>
      <c r="B270" s="78" t="s">
        <v>486</v>
      </c>
      <c r="C270" s="78">
        <v>0</v>
      </c>
      <c r="D270" s="78">
        <v>0</v>
      </c>
      <c r="E270" s="78">
        <v>0</v>
      </c>
      <c r="F270" s="78">
        <v>0</v>
      </c>
      <c r="G270" s="78">
        <v>0</v>
      </c>
      <c r="H270" s="78">
        <v>0</v>
      </c>
      <c r="I270" s="78">
        <v>0</v>
      </c>
      <c r="J270" s="78">
        <v>0</v>
      </c>
      <c r="K270" s="78">
        <v>0</v>
      </c>
      <c r="L270" s="78">
        <v>0</v>
      </c>
      <c r="M270" s="78">
        <v>0</v>
      </c>
      <c r="N270" s="78">
        <v>0</v>
      </c>
      <c r="O270" s="78">
        <v>0</v>
      </c>
      <c r="P270" s="78">
        <v>0</v>
      </c>
      <c r="Q270" s="78">
        <v>0</v>
      </c>
      <c r="R270" s="78">
        <v>0</v>
      </c>
      <c r="S270" s="78">
        <v>0</v>
      </c>
      <c r="T270" s="78">
        <v>1235</v>
      </c>
      <c r="U270" s="112">
        <v>0</v>
      </c>
      <c r="V270" s="112">
        <v>0</v>
      </c>
      <c r="W270" s="78" t="s">
        <v>159</v>
      </c>
    </row>
    <row r="271" spans="1:23" s="115" customFormat="1" ht="14.45" customHeight="1" x14ac:dyDescent="0.2">
      <c r="A271" s="78" t="s">
        <v>158</v>
      </c>
      <c r="B271" s="78" t="s">
        <v>490</v>
      </c>
      <c r="C271" s="78">
        <v>0</v>
      </c>
      <c r="D271" s="78">
        <v>0</v>
      </c>
      <c r="E271" s="78">
        <v>0</v>
      </c>
      <c r="F271" s="78">
        <v>0</v>
      </c>
      <c r="G271" s="78">
        <v>0</v>
      </c>
      <c r="H271" s="78">
        <v>0</v>
      </c>
      <c r="I271" s="78">
        <v>0</v>
      </c>
      <c r="J271" s="78">
        <v>0</v>
      </c>
      <c r="K271" s="78">
        <v>0</v>
      </c>
      <c r="L271" s="78">
        <v>0</v>
      </c>
      <c r="M271" s="78">
        <v>0</v>
      </c>
      <c r="N271" s="78">
        <v>0</v>
      </c>
      <c r="O271" s="78">
        <v>0</v>
      </c>
      <c r="P271" s="78">
        <v>0</v>
      </c>
      <c r="Q271" s="78">
        <v>0</v>
      </c>
      <c r="R271" s="78">
        <v>0</v>
      </c>
      <c r="S271" s="78">
        <v>0</v>
      </c>
      <c r="T271" s="78">
        <v>35</v>
      </c>
      <c r="U271" s="112">
        <v>0</v>
      </c>
      <c r="V271" s="112">
        <v>0</v>
      </c>
      <c r="W271" s="78" t="s">
        <v>159</v>
      </c>
    </row>
    <row r="272" spans="1:23" s="115" customFormat="1" ht="14.45" customHeight="1" x14ac:dyDescent="0.2">
      <c r="A272" s="78" t="s">
        <v>160</v>
      </c>
      <c r="B272" s="78" t="s">
        <v>487</v>
      </c>
      <c r="C272" s="78">
        <v>146922</v>
      </c>
      <c r="D272" s="78">
        <v>0</v>
      </c>
      <c r="E272" s="78">
        <v>0</v>
      </c>
      <c r="F272" s="78">
        <v>0</v>
      </c>
      <c r="G272" s="78">
        <v>0</v>
      </c>
      <c r="H272" s="78">
        <v>0</v>
      </c>
      <c r="I272" s="78">
        <v>0</v>
      </c>
      <c r="J272" s="78">
        <v>23405</v>
      </c>
      <c r="K272" s="78">
        <v>23405</v>
      </c>
      <c r="L272" s="78">
        <v>0</v>
      </c>
      <c r="M272" s="78">
        <v>0</v>
      </c>
      <c r="N272" s="78">
        <v>0</v>
      </c>
      <c r="O272" s="78">
        <v>0</v>
      </c>
      <c r="P272" s="78">
        <v>0</v>
      </c>
      <c r="Q272" s="78">
        <v>0</v>
      </c>
      <c r="R272" s="78">
        <v>123517</v>
      </c>
      <c r="S272" s="78">
        <v>123517</v>
      </c>
      <c r="T272" s="78">
        <v>146922</v>
      </c>
      <c r="U272" s="112">
        <v>0</v>
      </c>
      <c r="V272" s="112">
        <v>1</v>
      </c>
      <c r="W272" s="78" t="s">
        <v>161</v>
      </c>
    </row>
    <row r="273" spans="1:23" s="115" customFormat="1" ht="14.45" customHeight="1" x14ac:dyDescent="0.2">
      <c r="A273" s="78" t="s">
        <v>160</v>
      </c>
      <c r="B273" s="78" t="s">
        <v>486</v>
      </c>
      <c r="C273" s="78">
        <v>0</v>
      </c>
      <c r="D273" s="78">
        <v>0</v>
      </c>
      <c r="E273" s="78">
        <v>0</v>
      </c>
      <c r="F273" s="78">
        <v>0</v>
      </c>
      <c r="G273" s="78">
        <v>0</v>
      </c>
      <c r="H273" s="78">
        <v>0</v>
      </c>
      <c r="I273" s="78">
        <v>0</v>
      </c>
      <c r="J273" s="78">
        <v>0</v>
      </c>
      <c r="K273" s="78">
        <v>0</v>
      </c>
      <c r="L273" s="78">
        <v>0</v>
      </c>
      <c r="M273" s="78">
        <v>0</v>
      </c>
      <c r="N273" s="78">
        <v>0</v>
      </c>
      <c r="O273" s="78">
        <v>0</v>
      </c>
      <c r="P273" s="78">
        <v>0</v>
      </c>
      <c r="Q273" s="78">
        <v>0</v>
      </c>
      <c r="R273" s="78">
        <v>0</v>
      </c>
      <c r="S273" s="78">
        <v>0</v>
      </c>
      <c r="T273" s="78">
        <v>298296</v>
      </c>
      <c r="U273" s="112">
        <v>0</v>
      </c>
      <c r="V273" s="112">
        <v>0</v>
      </c>
      <c r="W273" s="78" t="s">
        <v>161</v>
      </c>
    </row>
    <row r="274" spans="1:23" s="115" customFormat="1" ht="14.45" customHeight="1" x14ac:dyDescent="0.2">
      <c r="A274" s="78" t="s">
        <v>160</v>
      </c>
      <c r="B274" s="78" t="s">
        <v>490</v>
      </c>
      <c r="C274" s="78">
        <v>0</v>
      </c>
      <c r="D274" s="78">
        <v>0</v>
      </c>
      <c r="E274" s="78">
        <v>0</v>
      </c>
      <c r="F274" s="78">
        <v>0</v>
      </c>
      <c r="G274" s="78">
        <v>0</v>
      </c>
      <c r="H274" s="78">
        <v>0</v>
      </c>
      <c r="I274" s="78">
        <v>0</v>
      </c>
      <c r="J274" s="78">
        <v>0</v>
      </c>
      <c r="K274" s="78">
        <v>0</v>
      </c>
      <c r="L274" s="78">
        <v>0</v>
      </c>
      <c r="M274" s="78">
        <v>0</v>
      </c>
      <c r="N274" s="78">
        <v>0</v>
      </c>
      <c r="O274" s="78">
        <v>0</v>
      </c>
      <c r="P274" s="78">
        <v>0</v>
      </c>
      <c r="Q274" s="78">
        <v>0</v>
      </c>
      <c r="R274" s="78">
        <v>0</v>
      </c>
      <c r="S274" s="78">
        <v>0</v>
      </c>
      <c r="T274" s="78">
        <v>2959</v>
      </c>
      <c r="U274" s="112">
        <v>0</v>
      </c>
      <c r="V274" s="112">
        <v>0</v>
      </c>
      <c r="W274" s="78" t="s">
        <v>161</v>
      </c>
    </row>
    <row r="275" spans="1:23" s="115" customFormat="1" ht="14.45" customHeight="1" x14ac:dyDescent="0.2">
      <c r="A275" s="78" t="s">
        <v>394</v>
      </c>
      <c r="B275" s="78" t="s">
        <v>487</v>
      </c>
      <c r="C275" s="78">
        <v>0</v>
      </c>
      <c r="D275" s="78">
        <v>0</v>
      </c>
      <c r="E275" s="78">
        <v>0</v>
      </c>
      <c r="F275" s="78">
        <v>0</v>
      </c>
      <c r="G275" s="78">
        <v>0</v>
      </c>
      <c r="H275" s="78">
        <v>0</v>
      </c>
      <c r="I275" s="78">
        <v>0</v>
      </c>
      <c r="J275" s="78">
        <v>0</v>
      </c>
      <c r="K275" s="78">
        <v>0</v>
      </c>
      <c r="L275" s="78">
        <v>0</v>
      </c>
      <c r="M275" s="78">
        <v>0</v>
      </c>
      <c r="N275" s="78">
        <v>0</v>
      </c>
      <c r="O275" s="78">
        <v>0</v>
      </c>
      <c r="P275" s="78">
        <v>0</v>
      </c>
      <c r="Q275" s="78">
        <v>0</v>
      </c>
      <c r="R275" s="78">
        <v>0</v>
      </c>
      <c r="S275" s="78">
        <v>0</v>
      </c>
      <c r="T275" s="78">
        <v>23916</v>
      </c>
      <c r="U275" s="112">
        <v>0</v>
      </c>
      <c r="V275" s="112">
        <v>0</v>
      </c>
      <c r="W275" s="78" t="s">
        <v>164</v>
      </c>
    </row>
    <row r="276" spans="1:23" s="115" customFormat="1" ht="14.45" customHeight="1" x14ac:dyDescent="0.2">
      <c r="A276" s="78" t="s">
        <v>394</v>
      </c>
      <c r="B276" s="78" t="s">
        <v>486</v>
      </c>
      <c r="C276" s="78">
        <v>0</v>
      </c>
      <c r="D276" s="78">
        <v>0</v>
      </c>
      <c r="E276" s="78">
        <v>0</v>
      </c>
      <c r="F276" s="78">
        <v>0</v>
      </c>
      <c r="G276" s="78">
        <v>0</v>
      </c>
      <c r="H276" s="78">
        <v>0</v>
      </c>
      <c r="I276" s="78">
        <v>0</v>
      </c>
      <c r="J276" s="78">
        <v>0</v>
      </c>
      <c r="K276" s="78">
        <v>0</v>
      </c>
      <c r="L276" s="78">
        <v>0</v>
      </c>
      <c r="M276" s="78">
        <v>0</v>
      </c>
      <c r="N276" s="78">
        <v>0</v>
      </c>
      <c r="O276" s="78">
        <v>0</v>
      </c>
      <c r="P276" s="78">
        <v>0</v>
      </c>
      <c r="Q276" s="78">
        <v>0</v>
      </c>
      <c r="R276" s="78">
        <v>0</v>
      </c>
      <c r="S276" s="78">
        <v>0</v>
      </c>
      <c r="T276" s="78">
        <v>22335</v>
      </c>
      <c r="U276" s="112">
        <v>0</v>
      </c>
      <c r="V276" s="112">
        <v>0</v>
      </c>
      <c r="W276" s="78" t="s">
        <v>164</v>
      </c>
    </row>
    <row r="277" spans="1:23" s="115" customFormat="1" ht="14.45" customHeight="1" x14ac:dyDescent="0.2">
      <c r="A277" s="78" t="s">
        <v>394</v>
      </c>
      <c r="B277" s="78" t="s">
        <v>490</v>
      </c>
      <c r="C277" s="78">
        <v>0</v>
      </c>
      <c r="D277" s="78">
        <v>0</v>
      </c>
      <c r="E277" s="78">
        <v>0</v>
      </c>
      <c r="F277" s="78">
        <v>0</v>
      </c>
      <c r="G277" s="78">
        <v>0</v>
      </c>
      <c r="H277" s="78">
        <v>0</v>
      </c>
      <c r="I277" s="78">
        <v>0</v>
      </c>
      <c r="J277" s="78">
        <v>0</v>
      </c>
      <c r="K277" s="78">
        <v>0</v>
      </c>
      <c r="L277" s="78">
        <v>0</v>
      </c>
      <c r="M277" s="78">
        <v>0</v>
      </c>
      <c r="N277" s="78">
        <v>0</v>
      </c>
      <c r="O277" s="78">
        <v>0</v>
      </c>
      <c r="P277" s="78">
        <v>0</v>
      </c>
      <c r="Q277" s="78">
        <v>0</v>
      </c>
      <c r="R277" s="78">
        <v>0</v>
      </c>
      <c r="S277" s="78">
        <v>0</v>
      </c>
      <c r="T277" s="78">
        <v>486</v>
      </c>
      <c r="U277" s="112">
        <v>0</v>
      </c>
      <c r="V277" s="112">
        <v>0</v>
      </c>
      <c r="W277" s="78" t="s">
        <v>164</v>
      </c>
    </row>
    <row r="278" spans="1:23" s="115" customFormat="1" ht="14.45" customHeight="1" x14ac:dyDescent="0.2">
      <c r="A278" s="78" t="s">
        <v>395</v>
      </c>
      <c r="B278" s="78" t="s">
        <v>487</v>
      </c>
      <c r="C278" s="78">
        <v>39775</v>
      </c>
      <c r="D278" s="78">
        <v>776</v>
      </c>
      <c r="E278" s="78">
        <v>2218</v>
      </c>
      <c r="F278" s="78">
        <v>2037</v>
      </c>
      <c r="G278" s="78">
        <v>5031</v>
      </c>
      <c r="H278" s="78">
        <v>9540</v>
      </c>
      <c r="I278" s="78">
        <v>2038</v>
      </c>
      <c r="J278" s="78">
        <v>0</v>
      </c>
      <c r="K278" s="78">
        <v>16609</v>
      </c>
      <c r="L278" s="78">
        <v>800</v>
      </c>
      <c r="M278" s="78">
        <v>2252</v>
      </c>
      <c r="N278" s="78">
        <v>2173</v>
      </c>
      <c r="O278" s="78">
        <v>5225</v>
      </c>
      <c r="P278" s="78">
        <v>15727</v>
      </c>
      <c r="Q278" s="78">
        <v>2214</v>
      </c>
      <c r="R278" s="78">
        <v>0</v>
      </c>
      <c r="S278" s="78">
        <v>23166</v>
      </c>
      <c r="T278" s="78">
        <v>39775</v>
      </c>
      <c r="U278" s="112">
        <v>1</v>
      </c>
      <c r="V278" s="112">
        <v>1</v>
      </c>
      <c r="W278" s="78" t="s">
        <v>165</v>
      </c>
    </row>
    <row r="279" spans="1:23" s="115" customFormat="1" ht="14.45" customHeight="1" x14ac:dyDescent="0.2">
      <c r="A279" s="78" t="s">
        <v>395</v>
      </c>
      <c r="B279" s="78" t="s">
        <v>491</v>
      </c>
      <c r="C279" s="78">
        <v>1293</v>
      </c>
      <c r="D279" s="78">
        <v>9</v>
      </c>
      <c r="E279" s="78">
        <v>62</v>
      </c>
      <c r="F279" s="78">
        <v>33</v>
      </c>
      <c r="G279" s="78">
        <v>104</v>
      </c>
      <c r="H279" s="78">
        <v>1101</v>
      </c>
      <c r="I279" s="78">
        <v>14</v>
      </c>
      <c r="J279" s="78">
        <v>0</v>
      </c>
      <c r="K279" s="78">
        <v>1219</v>
      </c>
      <c r="L279" s="78">
        <v>0</v>
      </c>
      <c r="M279" s="78">
        <v>23</v>
      </c>
      <c r="N279" s="78">
        <v>30</v>
      </c>
      <c r="O279" s="78">
        <v>53</v>
      </c>
      <c r="P279" s="78">
        <v>21</v>
      </c>
      <c r="Q279" s="78">
        <v>0</v>
      </c>
      <c r="R279" s="78">
        <v>0</v>
      </c>
      <c r="S279" s="78">
        <v>74</v>
      </c>
      <c r="T279" s="78">
        <v>1293</v>
      </c>
      <c r="U279" s="112">
        <v>1</v>
      </c>
      <c r="V279" s="112">
        <v>1</v>
      </c>
      <c r="W279" s="78" t="s">
        <v>165</v>
      </c>
    </row>
    <row r="280" spans="1:23" s="115" customFormat="1" ht="14.45" customHeight="1" x14ac:dyDescent="0.2">
      <c r="A280" s="78" t="s">
        <v>395</v>
      </c>
      <c r="B280" s="78" t="s">
        <v>486</v>
      </c>
      <c r="C280" s="78">
        <v>684066</v>
      </c>
      <c r="D280" s="78">
        <v>43220</v>
      </c>
      <c r="E280" s="78">
        <v>66057</v>
      </c>
      <c r="F280" s="78">
        <v>51224</v>
      </c>
      <c r="G280" s="78">
        <v>160501</v>
      </c>
      <c r="H280" s="78">
        <v>164104</v>
      </c>
      <c r="I280" s="78">
        <v>17913</v>
      </c>
      <c r="J280" s="78">
        <v>0</v>
      </c>
      <c r="K280" s="78">
        <v>342518</v>
      </c>
      <c r="L280" s="78">
        <v>44913</v>
      </c>
      <c r="M280" s="78">
        <v>69662</v>
      </c>
      <c r="N280" s="78">
        <v>54054</v>
      </c>
      <c r="O280" s="78">
        <v>168629</v>
      </c>
      <c r="P280" s="78">
        <v>159623</v>
      </c>
      <c r="Q280" s="78">
        <v>13296</v>
      </c>
      <c r="R280" s="78">
        <v>0</v>
      </c>
      <c r="S280" s="78">
        <v>341548</v>
      </c>
      <c r="T280" s="78">
        <v>684066</v>
      </c>
      <c r="U280" s="112">
        <v>1</v>
      </c>
      <c r="V280" s="112">
        <v>1</v>
      </c>
      <c r="W280" s="78" t="s">
        <v>165</v>
      </c>
    </row>
    <row r="281" spans="1:23" s="115" customFormat="1" ht="14.45" customHeight="1" x14ac:dyDescent="0.2">
      <c r="A281" s="78" t="s">
        <v>166</v>
      </c>
      <c r="B281" s="78" t="s">
        <v>487</v>
      </c>
      <c r="C281" s="78">
        <v>476</v>
      </c>
      <c r="D281" s="78">
        <v>15</v>
      </c>
      <c r="E281" s="78">
        <v>39</v>
      </c>
      <c r="F281" s="78">
        <v>14</v>
      </c>
      <c r="G281" s="78">
        <v>68</v>
      </c>
      <c r="H281" s="78">
        <v>161</v>
      </c>
      <c r="I281" s="78">
        <v>15</v>
      </c>
      <c r="J281" s="78">
        <v>0</v>
      </c>
      <c r="K281" s="78">
        <v>244</v>
      </c>
      <c r="L281" s="78">
        <v>5</v>
      </c>
      <c r="M281" s="78">
        <v>34</v>
      </c>
      <c r="N281" s="78">
        <v>12</v>
      </c>
      <c r="O281" s="78">
        <v>51</v>
      </c>
      <c r="P281" s="78">
        <v>176</v>
      </c>
      <c r="Q281" s="78">
        <v>5</v>
      </c>
      <c r="R281" s="78">
        <v>0</v>
      </c>
      <c r="S281" s="78">
        <v>232</v>
      </c>
      <c r="T281" s="78">
        <v>476</v>
      </c>
      <c r="U281" s="112">
        <v>1</v>
      </c>
      <c r="V281" s="112">
        <v>1</v>
      </c>
      <c r="W281" s="78" t="s">
        <v>167</v>
      </c>
    </row>
    <row r="282" spans="1:23" s="115" customFormat="1" ht="14.45" customHeight="1" x14ac:dyDescent="0.2">
      <c r="A282" s="78" t="s">
        <v>166</v>
      </c>
      <c r="B282" s="78" t="s">
        <v>486</v>
      </c>
      <c r="C282" s="78">
        <v>273</v>
      </c>
      <c r="D282" s="78">
        <v>0</v>
      </c>
      <c r="E282" s="78">
        <v>13</v>
      </c>
      <c r="F282" s="78">
        <v>14</v>
      </c>
      <c r="G282" s="78">
        <v>27</v>
      </c>
      <c r="H282" s="78">
        <v>85</v>
      </c>
      <c r="I282" s="78">
        <v>31</v>
      </c>
      <c r="J282" s="78">
        <v>0</v>
      </c>
      <c r="K282" s="78">
        <v>143</v>
      </c>
      <c r="L282" s="78">
        <v>0</v>
      </c>
      <c r="M282" s="78">
        <v>10</v>
      </c>
      <c r="N282" s="78">
        <v>13</v>
      </c>
      <c r="O282" s="78">
        <v>23</v>
      </c>
      <c r="P282" s="78">
        <v>97</v>
      </c>
      <c r="Q282" s="78">
        <v>10</v>
      </c>
      <c r="R282" s="78">
        <v>0</v>
      </c>
      <c r="S282" s="78">
        <v>130</v>
      </c>
      <c r="T282" s="78">
        <v>42685</v>
      </c>
      <c r="U282" s="112">
        <v>6.3956893522314597E-3</v>
      </c>
      <c r="V282" s="112">
        <v>6.3956893522314597E-3</v>
      </c>
      <c r="W282" s="78" t="s">
        <v>167</v>
      </c>
    </row>
    <row r="283" spans="1:23" s="115" customFormat="1" ht="14.45" customHeight="1" x14ac:dyDescent="0.2">
      <c r="A283" s="78" t="s">
        <v>166</v>
      </c>
      <c r="B283" s="78" t="s">
        <v>490</v>
      </c>
      <c r="C283" s="78">
        <v>0</v>
      </c>
      <c r="D283" s="78">
        <v>0</v>
      </c>
      <c r="E283" s="78">
        <v>0</v>
      </c>
      <c r="F283" s="78">
        <v>0</v>
      </c>
      <c r="G283" s="78">
        <v>0</v>
      </c>
      <c r="H283" s="78">
        <v>0</v>
      </c>
      <c r="I283" s="78">
        <v>0</v>
      </c>
      <c r="J283" s="78">
        <v>0</v>
      </c>
      <c r="K283" s="78">
        <v>0</v>
      </c>
      <c r="L283" s="78">
        <v>0</v>
      </c>
      <c r="M283" s="78">
        <v>0</v>
      </c>
      <c r="N283" s="78">
        <v>0</v>
      </c>
      <c r="O283" s="78">
        <v>0</v>
      </c>
      <c r="P283" s="78">
        <v>0</v>
      </c>
      <c r="Q283" s="78">
        <v>0</v>
      </c>
      <c r="R283" s="78">
        <v>0</v>
      </c>
      <c r="S283" s="78">
        <v>0</v>
      </c>
      <c r="T283" s="78">
        <v>7892</v>
      </c>
      <c r="U283" s="112">
        <v>0</v>
      </c>
      <c r="V283" s="112">
        <v>0</v>
      </c>
      <c r="W283" s="78" t="s">
        <v>167</v>
      </c>
    </row>
    <row r="284" spans="1:23" s="115" customFormat="1" ht="14.45" customHeight="1" x14ac:dyDescent="0.2">
      <c r="A284" s="78" t="s">
        <v>168</v>
      </c>
      <c r="B284" s="78" t="s">
        <v>487</v>
      </c>
      <c r="C284" s="78">
        <v>152942</v>
      </c>
      <c r="D284" s="78">
        <v>11758</v>
      </c>
      <c r="E284" s="78">
        <v>17307</v>
      </c>
      <c r="F284" s="78">
        <v>10369</v>
      </c>
      <c r="G284" s="78">
        <v>39434</v>
      </c>
      <c r="H284" s="78">
        <v>32567</v>
      </c>
      <c r="I284" s="78">
        <v>2115</v>
      </c>
      <c r="J284" s="78">
        <v>0</v>
      </c>
      <c r="K284" s="78">
        <v>74116</v>
      </c>
      <c r="L284" s="78">
        <v>11884</v>
      </c>
      <c r="M284" s="78">
        <v>18676</v>
      </c>
      <c r="N284" s="78">
        <v>11644</v>
      </c>
      <c r="O284" s="78">
        <v>42204</v>
      </c>
      <c r="P284" s="78">
        <v>34906</v>
      </c>
      <c r="Q284" s="78">
        <v>1716</v>
      </c>
      <c r="R284" s="78">
        <v>0</v>
      </c>
      <c r="S284" s="78">
        <v>78826</v>
      </c>
      <c r="T284" s="78">
        <v>152942</v>
      </c>
      <c r="U284" s="112">
        <v>1</v>
      </c>
      <c r="V284" s="112">
        <v>1</v>
      </c>
      <c r="W284" s="78" t="s">
        <v>169</v>
      </c>
    </row>
    <row r="285" spans="1:23" s="115" customFormat="1" ht="14.45" customHeight="1" x14ac:dyDescent="0.2">
      <c r="A285" s="78" t="s">
        <v>168</v>
      </c>
      <c r="B285" s="78" t="s">
        <v>491</v>
      </c>
      <c r="C285" s="78">
        <v>64971</v>
      </c>
      <c r="D285" s="78">
        <v>0</v>
      </c>
      <c r="E285" s="78">
        <v>0</v>
      </c>
      <c r="F285" s="78">
        <v>0</v>
      </c>
      <c r="G285" s="78">
        <v>0</v>
      </c>
      <c r="H285" s="78">
        <v>0</v>
      </c>
      <c r="I285" s="78">
        <v>0</v>
      </c>
      <c r="J285" s="78">
        <v>33153</v>
      </c>
      <c r="K285" s="78">
        <v>33153</v>
      </c>
      <c r="L285" s="78">
        <v>0</v>
      </c>
      <c r="M285" s="78">
        <v>0</v>
      </c>
      <c r="N285" s="78">
        <v>0</v>
      </c>
      <c r="O285" s="78">
        <v>0</v>
      </c>
      <c r="P285" s="78">
        <v>0</v>
      </c>
      <c r="Q285" s="78">
        <v>0</v>
      </c>
      <c r="R285" s="78">
        <v>31818</v>
      </c>
      <c r="S285" s="78">
        <v>31818</v>
      </c>
      <c r="T285" s="78">
        <v>64971</v>
      </c>
      <c r="U285" s="112">
        <v>0</v>
      </c>
      <c r="V285" s="112">
        <v>1</v>
      </c>
      <c r="W285" s="78" t="s">
        <v>169</v>
      </c>
    </row>
    <row r="286" spans="1:23" s="115" customFormat="1" ht="14.45" customHeight="1" x14ac:dyDescent="0.2">
      <c r="A286" s="78" t="s">
        <v>168</v>
      </c>
      <c r="B286" s="78" t="s">
        <v>486</v>
      </c>
      <c r="C286" s="78">
        <v>538899</v>
      </c>
      <c r="D286" s="78">
        <v>29745</v>
      </c>
      <c r="E286" s="78">
        <v>57001</v>
      </c>
      <c r="F286" s="78">
        <v>43871</v>
      </c>
      <c r="G286" s="78">
        <v>130617</v>
      </c>
      <c r="H286" s="78">
        <v>124037</v>
      </c>
      <c r="I286" s="78">
        <v>9740</v>
      </c>
      <c r="J286" s="78">
        <v>0</v>
      </c>
      <c r="K286" s="78">
        <v>264394</v>
      </c>
      <c r="L286" s="78">
        <v>31284</v>
      </c>
      <c r="M286" s="78">
        <v>61401</v>
      </c>
      <c r="N286" s="78">
        <v>52080</v>
      </c>
      <c r="O286" s="78">
        <v>144765</v>
      </c>
      <c r="P286" s="78">
        <v>121577</v>
      </c>
      <c r="Q286" s="78">
        <v>8163</v>
      </c>
      <c r="R286" s="78">
        <v>0</v>
      </c>
      <c r="S286" s="78">
        <v>274505</v>
      </c>
      <c r="T286" s="78">
        <v>538899</v>
      </c>
      <c r="U286" s="112">
        <v>1</v>
      </c>
      <c r="V286" s="112">
        <v>1</v>
      </c>
      <c r="W286" s="78" t="s">
        <v>169</v>
      </c>
    </row>
    <row r="287" spans="1:23" s="115" customFormat="1" ht="14.45" customHeight="1" x14ac:dyDescent="0.2">
      <c r="A287" s="78" t="s">
        <v>168</v>
      </c>
      <c r="B287" s="78" t="s">
        <v>490</v>
      </c>
      <c r="C287" s="78">
        <v>9800</v>
      </c>
      <c r="D287" s="78">
        <v>0</v>
      </c>
      <c r="E287" s="78">
        <v>0</v>
      </c>
      <c r="F287" s="78">
        <v>0</v>
      </c>
      <c r="G287" s="78">
        <v>0</v>
      </c>
      <c r="H287" s="78">
        <v>0</v>
      </c>
      <c r="I287" s="78">
        <v>0</v>
      </c>
      <c r="J287" s="78">
        <v>4998</v>
      </c>
      <c r="K287" s="78">
        <v>4998</v>
      </c>
      <c r="L287" s="78">
        <v>0</v>
      </c>
      <c r="M287" s="78">
        <v>0</v>
      </c>
      <c r="N287" s="78">
        <v>0</v>
      </c>
      <c r="O287" s="78">
        <v>0</v>
      </c>
      <c r="P287" s="78">
        <v>0</v>
      </c>
      <c r="Q287" s="78">
        <v>0</v>
      </c>
      <c r="R287" s="78">
        <v>4802</v>
      </c>
      <c r="S287" s="78">
        <v>4802</v>
      </c>
      <c r="T287" s="78">
        <v>9800</v>
      </c>
      <c r="U287" s="112">
        <v>0</v>
      </c>
      <c r="V287" s="112">
        <v>1</v>
      </c>
      <c r="W287" s="78" t="s">
        <v>169</v>
      </c>
    </row>
    <row r="288" spans="1:23" s="115" customFormat="1" ht="14.45" customHeight="1" x14ac:dyDescent="0.2">
      <c r="A288" s="78" t="s">
        <v>170</v>
      </c>
      <c r="B288" s="78" t="s">
        <v>487</v>
      </c>
      <c r="C288" s="78">
        <v>879</v>
      </c>
      <c r="D288" s="78">
        <v>5</v>
      </c>
      <c r="E288" s="78">
        <v>36</v>
      </c>
      <c r="F288" s="78">
        <v>37</v>
      </c>
      <c r="G288" s="78">
        <v>78</v>
      </c>
      <c r="H288" s="78">
        <v>310</v>
      </c>
      <c r="I288" s="78">
        <v>53</v>
      </c>
      <c r="J288" s="78">
        <v>0</v>
      </c>
      <c r="K288" s="78">
        <v>441</v>
      </c>
      <c r="L288" s="78">
        <v>5</v>
      </c>
      <c r="M288" s="78">
        <v>43</v>
      </c>
      <c r="N288" s="78">
        <v>53</v>
      </c>
      <c r="O288" s="78">
        <v>101</v>
      </c>
      <c r="P288" s="78">
        <v>290</v>
      </c>
      <c r="Q288" s="78">
        <v>47</v>
      </c>
      <c r="R288" s="78">
        <v>0</v>
      </c>
      <c r="S288" s="78">
        <v>438</v>
      </c>
      <c r="T288" s="78">
        <v>879</v>
      </c>
      <c r="U288" s="112">
        <v>1</v>
      </c>
      <c r="V288" s="112">
        <v>1</v>
      </c>
      <c r="W288" s="78" t="s">
        <v>171</v>
      </c>
    </row>
    <row r="289" spans="1:23" s="115" customFormat="1" ht="14.45" customHeight="1" x14ac:dyDescent="0.2">
      <c r="A289" s="78" t="s">
        <v>170</v>
      </c>
      <c r="B289" s="78" t="s">
        <v>491</v>
      </c>
      <c r="C289" s="78">
        <v>13</v>
      </c>
      <c r="D289" s="78">
        <v>0</v>
      </c>
      <c r="E289" s="78">
        <v>0</v>
      </c>
      <c r="F289" s="78">
        <v>0</v>
      </c>
      <c r="G289" s="78">
        <v>0</v>
      </c>
      <c r="H289" s="78">
        <v>8</v>
      </c>
      <c r="I289" s="78">
        <v>0</v>
      </c>
      <c r="J289" s="78">
        <v>0</v>
      </c>
      <c r="K289" s="78">
        <v>8</v>
      </c>
      <c r="L289" s="78">
        <v>0</v>
      </c>
      <c r="M289" s="78">
        <v>0</v>
      </c>
      <c r="N289" s="78">
        <v>5</v>
      </c>
      <c r="O289" s="78">
        <v>5</v>
      </c>
      <c r="P289" s="78">
        <v>0</v>
      </c>
      <c r="Q289" s="78">
        <v>0</v>
      </c>
      <c r="R289" s="78">
        <v>0</v>
      </c>
      <c r="S289" s="78">
        <v>5</v>
      </c>
      <c r="T289" s="78">
        <v>13</v>
      </c>
      <c r="U289" s="112">
        <v>1</v>
      </c>
      <c r="V289" s="112">
        <v>1</v>
      </c>
      <c r="W289" s="78" t="s">
        <v>171</v>
      </c>
    </row>
    <row r="290" spans="1:23" s="115" customFormat="1" ht="14.45" customHeight="1" x14ac:dyDescent="0.2">
      <c r="A290" s="78" t="s">
        <v>170</v>
      </c>
      <c r="B290" s="78" t="s">
        <v>486</v>
      </c>
      <c r="C290" s="78">
        <v>572</v>
      </c>
      <c r="D290" s="78">
        <v>10</v>
      </c>
      <c r="E290" s="78">
        <v>37</v>
      </c>
      <c r="F290" s="78">
        <v>42</v>
      </c>
      <c r="G290" s="78">
        <v>89</v>
      </c>
      <c r="H290" s="78">
        <v>187</v>
      </c>
      <c r="I290" s="78">
        <v>17</v>
      </c>
      <c r="J290" s="78">
        <v>0</v>
      </c>
      <c r="K290" s="78">
        <v>293</v>
      </c>
      <c r="L290" s="78">
        <v>6</v>
      </c>
      <c r="M290" s="78">
        <v>33</v>
      </c>
      <c r="N290" s="78">
        <v>36</v>
      </c>
      <c r="O290" s="78">
        <v>75</v>
      </c>
      <c r="P290" s="78">
        <v>177</v>
      </c>
      <c r="Q290" s="78">
        <v>27</v>
      </c>
      <c r="R290" s="78">
        <v>0</v>
      </c>
      <c r="S290" s="78">
        <v>279</v>
      </c>
      <c r="T290" s="78">
        <v>572</v>
      </c>
      <c r="U290" s="112">
        <v>1</v>
      </c>
      <c r="V290" s="112">
        <v>1</v>
      </c>
      <c r="W290" s="78" t="s">
        <v>171</v>
      </c>
    </row>
    <row r="291" spans="1:23" s="115" customFormat="1" ht="14.45" customHeight="1" x14ac:dyDescent="0.2">
      <c r="A291" s="78" t="s">
        <v>170</v>
      </c>
      <c r="B291" s="78" t="s">
        <v>490</v>
      </c>
      <c r="C291" s="78">
        <v>92000</v>
      </c>
      <c r="D291" s="78">
        <v>0</v>
      </c>
      <c r="E291" s="78">
        <v>0</v>
      </c>
      <c r="F291" s="78">
        <v>0</v>
      </c>
      <c r="G291" s="78">
        <v>0</v>
      </c>
      <c r="H291" s="78">
        <v>0</v>
      </c>
      <c r="I291" s="78">
        <v>0</v>
      </c>
      <c r="J291" s="78">
        <v>46000</v>
      </c>
      <c r="K291" s="78">
        <v>46000</v>
      </c>
      <c r="L291" s="78">
        <v>0</v>
      </c>
      <c r="M291" s="78">
        <v>0</v>
      </c>
      <c r="N291" s="78">
        <v>0</v>
      </c>
      <c r="O291" s="78">
        <v>0</v>
      </c>
      <c r="P291" s="78">
        <v>0</v>
      </c>
      <c r="Q291" s="78">
        <v>0</v>
      </c>
      <c r="R291" s="78">
        <v>46000</v>
      </c>
      <c r="S291" s="78">
        <v>46000</v>
      </c>
      <c r="T291" s="78">
        <v>92000</v>
      </c>
      <c r="U291" s="112">
        <v>0</v>
      </c>
      <c r="V291" s="112">
        <v>1</v>
      </c>
      <c r="W291" s="78" t="s">
        <v>171</v>
      </c>
    </row>
    <row r="292" spans="1:23" s="115" customFormat="1" ht="14.45" customHeight="1" x14ac:dyDescent="0.2">
      <c r="A292" s="78" t="s">
        <v>172</v>
      </c>
      <c r="B292" s="78" t="s">
        <v>487</v>
      </c>
      <c r="C292" s="78">
        <v>1203</v>
      </c>
      <c r="D292" s="78">
        <v>68</v>
      </c>
      <c r="E292" s="78">
        <v>107</v>
      </c>
      <c r="F292" s="78">
        <v>85</v>
      </c>
      <c r="G292" s="78">
        <v>260</v>
      </c>
      <c r="H292" s="78">
        <v>258</v>
      </c>
      <c r="I292" s="78">
        <v>22</v>
      </c>
      <c r="J292" s="78">
        <v>0</v>
      </c>
      <c r="K292" s="78">
        <v>540</v>
      </c>
      <c r="L292" s="78">
        <v>35</v>
      </c>
      <c r="M292" s="78">
        <v>99</v>
      </c>
      <c r="N292" s="78">
        <v>95</v>
      </c>
      <c r="O292" s="78">
        <v>229</v>
      </c>
      <c r="P292" s="78">
        <v>400</v>
      </c>
      <c r="Q292" s="78">
        <v>34</v>
      </c>
      <c r="R292" s="78">
        <v>0</v>
      </c>
      <c r="S292" s="78">
        <v>663</v>
      </c>
      <c r="T292" s="78">
        <v>1203</v>
      </c>
      <c r="U292" s="112">
        <v>1</v>
      </c>
      <c r="V292" s="112">
        <v>1</v>
      </c>
      <c r="W292" s="78" t="s">
        <v>173</v>
      </c>
    </row>
    <row r="293" spans="1:23" s="115" customFormat="1" ht="14.45" customHeight="1" x14ac:dyDescent="0.2">
      <c r="A293" s="78" t="s">
        <v>172</v>
      </c>
      <c r="B293" s="78" t="s">
        <v>486</v>
      </c>
      <c r="C293" s="78">
        <v>250</v>
      </c>
      <c r="D293" s="78">
        <v>7</v>
      </c>
      <c r="E293" s="78">
        <v>18</v>
      </c>
      <c r="F293" s="78">
        <v>10</v>
      </c>
      <c r="G293" s="78">
        <v>35</v>
      </c>
      <c r="H293" s="78">
        <v>64</v>
      </c>
      <c r="I293" s="78">
        <v>0</v>
      </c>
      <c r="J293" s="78">
        <v>0</v>
      </c>
      <c r="K293" s="78">
        <v>99</v>
      </c>
      <c r="L293" s="78">
        <v>9</v>
      </c>
      <c r="M293" s="78">
        <v>16</v>
      </c>
      <c r="N293" s="78">
        <v>13</v>
      </c>
      <c r="O293" s="78">
        <v>38</v>
      </c>
      <c r="P293" s="78">
        <v>113</v>
      </c>
      <c r="Q293" s="78">
        <v>0</v>
      </c>
      <c r="R293" s="78">
        <v>0</v>
      </c>
      <c r="S293" s="78">
        <v>151</v>
      </c>
      <c r="T293" s="78">
        <v>27790</v>
      </c>
      <c r="U293" s="112">
        <v>8.9960417416336796E-3</v>
      </c>
      <c r="V293" s="112">
        <v>8.9960417416336796E-3</v>
      </c>
      <c r="W293" s="78" t="s">
        <v>173</v>
      </c>
    </row>
    <row r="294" spans="1:23" s="115" customFormat="1" ht="14.45" customHeight="1" x14ac:dyDescent="0.2">
      <c r="A294" s="78" t="s">
        <v>172</v>
      </c>
      <c r="B294" s="78" t="s">
        <v>490</v>
      </c>
      <c r="C294" s="78">
        <v>0</v>
      </c>
      <c r="D294" s="78">
        <v>0</v>
      </c>
      <c r="E294" s="78">
        <v>0</v>
      </c>
      <c r="F294" s="78">
        <v>0</v>
      </c>
      <c r="G294" s="78">
        <v>0</v>
      </c>
      <c r="H294" s="78">
        <v>0</v>
      </c>
      <c r="I294" s="78">
        <v>0</v>
      </c>
      <c r="J294" s="78">
        <v>0</v>
      </c>
      <c r="K294" s="78">
        <v>0</v>
      </c>
      <c r="L294" s="78">
        <v>0</v>
      </c>
      <c r="M294" s="78">
        <v>0</v>
      </c>
      <c r="N294" s="78">
        <v>0</v>
      </c>
      <c r="O294" s="78">
        <v>0</v>
      </c>
      <c r="P294" s="78">
        <v>0</v>
      </c>
      <c r="Q294" s="78">
        <v>0</v>
      </c>
      <c r="R294" s="78">
        <v>0</v>
      </c>
      <c r="S294" s="78">
        <v>0</v>
      </c>
      <c r="T294" s="78">
        <v>20</v>
      </c>
      <c r="U294" s="112">
        <v>0</v>
      </c>
      <c r="V294" s="112">
        <v>0</v>
      </c>
      <c r="W294" s="78" t="s">
        <v>173</v>
      </c>
    </row>
    <row r="295" spans="1:23" s="115" customFormat="1" ht="14.45" customHeight="1" x14ac:dyDescent="0.2">
      <c r="A295" s="78" t="s">
        <v>400</v>
      </c>
      <c r="B295" s="78" t="s">
        <v>487</v>
      </c>
      <c r="C295" s="78">
        <v>0</v>
      </c>
      <c r="D295" s="78">
        <v>0</v>
      </c>
      <c r="E295" s="78">
        <v>0</v>
      </c>
      <c r="F295" s="78">
        <v>0</v>
      </c>
      <c r="G295" s="78">
        <v>0</v>
      </c>
      <c r="H295" s="78">
        <v>0</v>
      </c>
      <c r="I295" s="78">
        <v>0</v>
      </c>
      <c r="J295" s="78">
        <v>0</v>
      </c>
      <c r="K295" s="78">
        <v>0</v>
      </c>
      <c r="L295" s="78">
        <v>0</v>
      </c>
      <c r="M295" s="78">
        <v>0</v>
      </c>
      <c r="N295" s="78">
        <v>0</v>
      </c>
      <c r="O295" s="78">
        <v>0</v>
      </c>
      <c r="P295" s="78">
        <v>0</v>
      </c>
      <c r="Q295" s="78">
        <v>0</v>
      </c>
      <c r="R295" s="78">
        <v>0</v>
      </c>
      <c r="S295" s="78">
        <v>0</v>
      </c>
      <c r="T295" s="78">
        <v>552</v>
      </c>
      <c r="U295" s="112">
        <v>0</v>
      </c>
      <c r="V295" s="112">
        <v>0</v>
      </c>
      <c r="W295" s="78" t="s">
        <v>174</v>
      </c>
    </row>
    <row r="296" spans="1:23" s="115" customFormat="1" ht="14.45" customHeight="1" x14ac:dyDescent="0.2">
      <c r="A296" s="78" t="s">
        <v>400</v>
      </c>
      <c r="B296" s="78" t="s">
        <v>486</v>
      </c>
      <c r="C296" s="78">
        <v>0</v>
      </c>
      <c r="D296" s="78">
        <v>0</v>
      </c>
      <c r="E296" s="78">
        <v>0</v>
      </c>
      <c r="F296" s="78">
        <v>0</v>
      </c>
      <c r="G296" s="78">
        <v>0</v>
      </c>
      <c r="H296" s="78">
        <v>0</v>
      </c>
      <c r="I296" s="78">
        <v>0</v>
      </c>
      <c r="J296" s="78">
        <v>0</v>
      </c>
      <c r="K296" s="78">
        <v>0</v>
      </c>
      <c r="L296" s="78">
        <v>0</v>
      </c>
      <c r="M296" s="78">
        <v>0</v>
      </c>
      <c r="N296" s="78">
        <v>0</v>
      </c>
      <c r="O296" s="78">
        <v>0</v>
      </c>
      <c r="P296" s="78">
        <v>0</v>
      </c>
      <c r="Q296" s="78">
        <v>0</v>
      </c>
      <c r="R296" s="78">
        <v>0</v>
      </c>
      <c r="S296" s="78">
        <v>0</v>
      </c>
      <c r="T296" s="78">
        <v>45761</v>
      </c>
      <c r="U296" s="112">
        <v>0</v>
      </c>
      <c r="V296" s="112">
        <v>0</v>
      </c>
      <c r="W296" s="78" t="s">
        <v>174</v>
      </c>
    </row>
    <row r="297" spans="1:23" s="115" customFormat="1" ht="14.45" customHeight="1" x14ac:dyDescent="0.2">
      <c r="A297" s="78" t="s">
        <v>400</v>
      </c>
      <c r="B297" s="78" t="s">
        <v>490</v>
      </c>
      <c r="C297" s="78">
        <v>0</v>
      </c>
      <c r="D297" s="78">
        <v>0</v>
      </c>
      <c r="E297" s="78">
        <v>0</v>
      </c>
      <c r="F297" s="78">
        <v>0</v>
      </c>
      <c r="G297" s="78">
        <v>0</v>
      </c>
      <c r="H297" s="78">
        <v>0</v>
      </c>
      <c r="I297" s="78">
        <v>0</v>
      </c>
      <c r="J297" s="78">
        <v>0</v>
      </c>
      <c r="K297" s="78">
        <v>0</v>
      </c>
      <c r="L297" s="78">
        <v>0</v>
      </c>
      <c r="M297" s="78">
        <v>0</v>
      </c>
      <c r="N297" s="78">
        <v>0</v>
      </c>
      <c r="O297" s="78">
        <v>0</v>
      </c>
      <c r="P297" s="78">
        <v>0</v>
      </c>
      <c r="Q297" s="78">
        <v>0</v>
      </c>
      <c r="R297" s="78">
        <v>0</v>
      </c>
      <c r="S297" s="78">
        <v>0</v>
      </c>
      <c r="T297" s="78">
        <v>180614</v>
      </c>
      <c r="U297" s="112">
        <v>0</v>
      </c>
      <c r="V297" s="112">
        <v>0</v>
      </c>
      <c r="W297" s="78" t="s">
        <v>174</v>
      </c>
    </row>
    <row r="298" spans="1:23" s="115" customFormat="1" ht="14.45" customHeight="1" x14ac:dyDescent="0.2">
      <c r="A298" s="78" t="s">
        <v>175</v>
      </c>
      <c r="B298" s="78" t="s">
        <v>487</v>
      </c>
      <c r="C298" s="78">
        <v>7614</v>
      </c>
      <c r="D298" s="78">
        <v>354</v>
      </c>
      <c r="E298" s="78">
        <v>367</v>
      </c>
      <c r="F298" s="78">
        <v>291</v>
      </c>
      <c r="G298" s="78">
        <v>1012</v>
      </c>
      <c r="H298" s="78">
        <v>2604</v>
      </c>
      <c r="I298" s="78">
        <v>122</v>
      </c>
      <c r="J298" s="78">
        <v>0</v>
      </c>
      <c r="K298" s="78">
        <v>3738</v>
      </c>
      <c r="L298" s="78">
        <v>431</v>
      </c>
      <c r="M298" s="78">
        <v>387</v>
      </c>
      <c r="N298" s="78">
        <v>237</v>
      </c>
      <c r="O298" s="78">
        <v>1055</v>
      </c>
      <c r="P298" s="78">
        <v>2635</v>
      </c>
      <c r="Q298" s="78">
        <v>186</v>
      </c>
      <c r="R298" s="78">
        <v>0</v>
      </c>
      <c r="S298" s="78">
        <v>3876</v>
      </c>
      <c r="T298" s="78">
        <v>7614</v>
      </c>
      <c r="U298" s="112">
        <v>1</v>
      </c>
      <c r="V298" s="112">
        <v>1</v>
      </c>
      <c r="W298" s="78" t="s">
        <v>176</v>
      </c>
    </row>
    <row r="299" spans="1:23" s="115" customFormat="1" ht="14.45" customHeight="1" x14ac:dyDescent="0.2">
      <c r="A299" s="78" t="s">
        <v>175</v>
      </c>
      <c r="B299" s="78" t="s">
        <v>491</v>
      </c>
      <c r="C299" s="78">
        <v>30053</v>
      </c>
      <c r="D299" s="78">
        <v>2942</v>
      </c>
      <c r="E299" s="78">
        <v>3109</v>
      </c>
      <c r="F299" s="78">
        <v>1088</v>
      </c>
      <c r="G299" s="78">
        <v>7139</v>
      </c>
      <c r="H299" s="78">
        <v>11285</v>
      </c>
      <c r="I299" s="78">
        <v>971</v>
      </c>
      <c r="J299" s="78">
        <v>0</v>
      </c>
      <c r="K299" s="78">
        <v>19395</v>
      </c>
      <c r="L299" s="78">
        <v>2979</v>
      </c>
      <c r="M299" s="78">
        <v>3241</v>
      </c>
      <c r="N299" s="78">
        <v>1084</v>
      </c>
      <c r="O299" s="78">
        <v>7304</v>
      </c>
      <c r="P299" s="78">
        <v>3162</v>
      </c>
      <c r="Q299" s="78">
        <v>192</v>
      </c>
      <c r="R299" s="78">
        <v>0</v>
      </c>
      <c r="S299" s="78">
        <v>10658</v>
      </c>
      <c r="T299" s="78">
        <v>30053</v>
      </c>
      <c r="U299" s="112">
        <v>1</v>
      </c>
      <c r="V299" s="112">
        <v>1</v>
      </c>
      <c r="W299" s="78" t="s">
        <v>176</v>
      </c>
    </row>
    <row r="300" spans="1:23" s="115" customFormat="1" ht="14.45" customHeight="1" x14ac:dyDescent="0.2">
      <c r="A300" s="78" t="s">
        <v>175</v>
      </c>
      <c r="B300" s="78" t="s">
        <v>486</v>
      </c>
      <c r="C300" s="78">
        <v>788472</v>
      </c>
      <c r="D300" s="78">
        <v>48277</v>
      </c>
      <c r="E300" s="78">
        <v>92300</v>
      </c>
      <c r="F300" s="78">
        <v>68268</v>
      </c>
      <c r="G300" s="78">
        <v>208845</v>
      </c>
      <c r="H300" s="78">
        <v>188411</v>
      </c>
      <c r="I300" s="78">
        <v>11210</v>
      </c>
      <c r="J300" s="78">
        <v>0</v>
      </c>
      <c r="K300" s="78">
        <v>408466</v>
      </c>
      <c r="L300" s="78">
        <v>50848</v>
      </c>
      <c r="M300" s="78">
        <v>95956</v>
      </c>
      <c r="N300" s="78">
        <v>70820</v>
      </c>
      <c r="O300" s="78">
        <v>217624</v>
      </c>
      <c r="P300" s="78">
        <v>153085</v>
      </c>
      <c r="Q300" s="78">
        <v>9297</v>
      </c>
      <c r="R300" s="78">
        <v>0</v>
      </c>
      <c r="S300" s="78">
        <v>380006</v>
      </c>
      <c r="T300" s="78">
        <v>788472</v>
      </c>
      <c r="U300" s="112">
        <v>1</v>
      </c>
      <c r="V300" s="112">
        <v>1</v>
      </c>
      <c r="W300" s="78" t="s">
        <v>176</v>
      </c>
    </row>
    <row r="301" spans="1:23" s="115" customFormat="1" ht="14.45" customHeight="1" x14ac:dyDescent="0.2">
      <c r="A301" s="78" t="s">
        <v>177</v>
      </c>
      <c r="B301" s="78" t="s">
        <v>487</v>
      </c>
      <c r="C301" s="78">
        <v>363</v>
      </c>
      <c r="D301" s="78">
        <v>19</v>
      </c>
      <c r="E301" s="78">
        <v>37</v>
      </c>
      <c r="F301" s="78">
        <v>11</v>
      </c>
      <c r="G301" s="78">
        <v>67</v>
      </c>
      <c r="H301" s="78">
        <v>63</v>
      </c>
      <c r="I301" s="78">
        <v>0</v>
      </c>
      <c r="J301" s="78">
        <v>0</v>
      </c>
      <c r="K301" s="78">
        <v>130</v>
      </c>
      <c r="L301" s="78">
        <v>5</v>
      </c>
      <c r="M301" s="78">
        <v>25</v>
      </c>
      <c r="N301" s="78">
        <v>29</v>
      </c>
      <c r="O301" s="78">
        <v>59</v>
      </c>
      <c r="P301" s="78">
        <v>174</v>
      </c>
      <c r="Q301" s="78">
        <v>0</v>
      </c>
      <c r="R301" s="78">
        <v>0</v>
      </c>
      <c r="S301" s="78">
        <v>233</v>
      </c>
      <c r="T301" s="78">
        <v>363</v>
      </c>
      <c r="U301" s="112">
        <v>1</v>
      </c>
      <c r="V301" s="112">
        <v>1</v>
      </c>
      <c r="W301" s="78" t="s">
        <v>178</v>
      </c>
    </row>
    <row r="302" spans="1:23" s="115" customFormat="1" ht="14.45" customHeight="1" x14ac:dyDescent="0.2">
      <c r="A302" s="78" t="s">
        <v>177</v>
      </c>
      <c r="B302" s="78" t="s">
        <v>491</v>
      </c>
      <c r="C302" s="78">
        <v>6</v>
      </c>
      <c r="D302" s="78">
        <v>0</v>
      </c>
      <c r="E302" s="78">
        <v>0</v>
      </c>
      <c r="F302" s="78">
        <v>0</v>
      </c>
      <c r="G302" s="78">
        <v>0</v>
      </c>
      <c r="H302" s="78">
        <v>0</v>
      </c>
      <c r="I302" s="78">
        <v>0</v>
      </c>
      <c r="J302" s="78">
        <v>0</v>
      </c>
      <c r="K302" s="78">
        <v>0</v>
      </c>
      <c r="L302" s="78">
        <v>6</v>
      </c>
      <c r="M302" s="78">
        <v>0</v>
      </c>
      <c r="N302" s="78">
        <v>0</v>
      </c>
      <c r="O302" s="78">
        <v>6</v>
      </c>
      <c r="P302" s="78">
        <v>0</v>
      </c>
      <c r="Q302" s="78">
        <v>0</v>
      </c>
      <c r="R302" s="78">
        <v>0</v>
      </c>
      <c r="S302" s="78">
        <v>6</v>
      </c>
      <c r="T302" s="78">
        <v>6</v>
      </c>
      <c r="U302" s="112">
        <v>1</v>
      </c>
      <c r="V302" s="112">
        <v>1</v>
      </c>
      <c r="W302" s="78" t="s">
        <v>178</v>
      </c>
    </row>
    <row r="303" spans="1:23" s="115" customFormat="1" ht="14.45" customHeight="1" x14ac:dyDescent="0.2">
      <c r="A303" s="78" t="s">
        <v>177</v>
      </c>
      <c r="B303" s="78" t="s">
        <v>486</v>
      </c>
      <c r="C303" s="78">
        <v>319</v>
      </c>
      <c r="D303" s="78">
        <v>0</v>
      </c>
      <c r="E303" s="78">
        <v>26</v>
      </c>
      <c r="F303" s="78">
        <v>20</v>
      </c>
      <c r="G303" s="78">
        <v>46</v>
      </c>
      <c r="H303" s="78">
        <v>94</v>
      </c>
      <c r="I303" s="78">
        <v>0</v>
      </c>
      <c r="J303" s="78">
        <v>0</v>
      </c>
      <c r="K303" s="78">
        <v>140</v>
      </c>
      <c r="L303" s="78">
        <v>5</v>
      </c>
      <c r="M303" s="78">
        <v>35</v>
      </c>
      <c r="N303" s="78">
        <v>19</v>
      </c>
      <c r="O303" s="78">
        <v>59</v>
      </c>
      <c r="P303" s="78">
        <v>115</v>
      </c>
      <c r="Q303" s="78">
        <v>5</v>
      </c>
      <c r="R303" s="78">
        <v>0</v>
      </c>
      <c r="S303" s="78">
        <v>179</v>
      </c>
      <c r="T303" s="78">
        <v>319</v>
      </c>
      <c r="U303" s="112">
        <v>1</v>
      </c>
      <c r="V303" s="112">
        <v>1</v>
      </c>
      <c r="W303" s="78" t="s">
        <v>178</v>
      </c>
    </row>
    <row r="304" spans="1:23" s="115" customFormat="1" ht="14.45" customHeight="1" x14ac:dyDescent="0.2">
      <c r="A304" s="78" t="s">
        <v>179</v>
      </c>
      <c r="B304" s="78" t="s">
        <v>487</v>
      </c>
      <c r="C304" s="78">
        <v>618</v>
      </c>
      <c r="D304" s="78">
        <v>18</v>
      </c>
      <c r="E304" s="78">
        <v>59</v>
      </c>
      <c r="F304" s="78">
        <v>33</v>
      </c>
      <c r="G304" s="78">
        <v>110</v>
      </c>
      <c r="H304" s="78">
        <v>163</v>
      </c>
      <c r="I304" s="78">
        <v>10</v>
      </c>
      <c r="J304" s="78">
        <v>0</v>
      </c>
      <c r="K304" s="78">
        <v>283</v>
      </c>
      <c r="L304" s="78">
        <v>12</v>
      </c>
      <c r="M304" s="78">
        <v>42</v>
      </c>
      <c r="N304" s="78">
        <v>39</v>
      </c>
      <c r="O304" s="78">
        <v>93</v>
      </c>
      <c r="P304" s="78">
        <v>237</v>
      </c>
      <c r="Q304" s="78">
        <v>5</v>
      </c>
      <c r="R304" s="78">
        <v>0</v>
      </c>
      <c r="S304" s="78">
        <v>335</v>
      </c>
      <c r="T304" s="78">
        <v>618</v>
      </c>
      <c r="U304" s="112">
        <v>1</v>
      </c>
      <c r="V304" s="112">
        <v>1</v>
      </c>
      <c r="W304" s="78" t="s">
        <v>180</v>
      </c>
    </row>
    <row r="305" spans="1:23" s="115" customFormat="1" ht="14.45" customHeight="1" x14ac:dyDescent="0.2">
      <c r="A305" s="78" t="s">
        <v>179</v>
      </c>
      <c r="B305" s="78" t="s">
        <v>486</v>
      </c>
      <c r="C305" s="78">
        <v>1164</v>
      </c>
      <c r="D305" s="78">
        <v>39</v>
      </c>
      <c r="E305" s="78">
        <v>90</v>
      </c>
      <c r="F305" s="78">
        <v>99</v>
      </c>
      <c r="G305" s="78">
        <v>228</v>
      </c>
      <c r="H305" s="78">
        <v>255</v>
      </c>
      <c r="I305" s="78">
        <v>20</v>
      </c>
      <c r="J305" s="78">
        <v>0</v>
      </c>
      <c r="K305" s="78">
        <v>503</v>
      </c>
      <c r="L305" s="78">
        <v>43</v>
      </c>
      <c r="M305" s="78">
        <v>98</v>
      </c>
      <c r="N305" s="78">
        <v>112</v>
      </c>
      <c r="O305" s="78">
        <v>253</v>
      </c>
      <c r="P305" s="78">
        <v>372</v>
      </c>
      <c r="Q305" s="78">
        <v>36</v>
      </c>
      <c r="R305" s="78">
        <v>0</v>
      </c>
      <c r="S305" s="78">
        <v>661</v>
      </c>
      <c r="T305" s="78">
        <v>1164</v>
      </c>
      <c r="U305" s="112">
        <v>1</v>
      </c>
      <c r="V305" s="112">
        <v>1</v>
      </c>
      <c r="W305" s="78" t="s">
        <v>180</v>
      </c>
    </row>
    <row r="306" spans="1:23" s="115" customFormat="1" ht="14.45" customHeight="1" x14ac:dyDescent="0.2">
      <c r="A306" s="78" t="s">
        <v>181</v>
      </c>
      <c r="B306" s="78" t="s">
        <v>487</v>
      </c>
      <c r="C306" s="78">
        <v>54837</v>
      </c>
      <c r="D306" s="78">
        <v>3219</v>
      </c>
      <c r="E306" s="78">
        <v>3211</v>
      </c>
      <c r="F306" s="78">
        <v>1836</v>
      </c>
      <c r="G306" s="78">
        <v>8266</v>
      </c>
      <c r="H306" s="78">
        <v>9924</v>
      </c>
      <c r="I306" s="78">
        <v>302</v>
      </c>
      <c r="J306" s="78">
        <v>0</v>
      </c>
      <c r="K306" s="78">
        <v>18492</v>
      </c>
      <c r="L306" s="78">
        <v>3320</v>
      </c>
      <c r="M306" s="78">
        <v>3495</v>
      </c>
      <c r="N306" s="78">
        <v>4114</v>
      </c>
      <c r="O306" s="78">
        <v>10929</v>
      </c>
      <c r="P306" s="78">
        <v>24847</v>
      </c>
      <c r="Q306" s="78">
        <v>569</v>
      </c>
      <c r="R306" s="78">
        <v>0</v>
      </c>
      <c r="S306" s="78">
        <v>36345</v>
      </c>
      <c r="T306" s="78">
        <v>54837</v>
      </c>
      <c r="U306" s="112">
        <v>1</v>
      </c>
      <c r="V306" s="112">
        <v>1</v>
      </c>
      <c r="W306" s="78" t="s">
        <v>182</v>
      </c>
    </row>
    <row r="307" spans="1:23" s="115" customFormat="1" ht="14.45" customHeight="1" x14ac:dyDescent="0.2">
      <c r="A307" s="78" t="s">
        <v>181</v>
      </c>
      <c r="B307" s="78" t="s">
        <v>493</v>
      </c>
      <c r="C307" s="78">
        <v>0</v>
      </c>
      <c r="D307" s="78">
        <v>0</v>
      </c>
      <c r="E307" s="78">
        <v>0</v>
      </c>
      <c r="F307" s="78">
        <v>0</v>
      </c>
      <c r="G307" s="78">
        <v>0</v>
      </c>
      <c r="H307" s="78">
        <v>0</v>
      </c>
      <c r="I307" s="78">
        <v>0</v>
      </c>
      <c r="J307" s="78">
        <v>0</v>
      </c>
      <c r="K307" s="78">
        <v>0</v>
      </c>
      <c r="L307" s="78">
        <v>0</v>
      </c>
      <c r="M307" s="78">
        <v>0</v>
      </c>
      <c r="N307" s="78">
        <v>0</v>
      </c>
      <c r="O307" s="78">
        <v>0</v>
      </c>
      <c r="P307" s="78">
        <v>0</v>
      </c>
      <c r="Q307" s="78">
        <v>0</v>
      </c>
      <c r="R307" s="78">
        <v>0</v>
      </c>
      <c r="S307" s="78">
        <v>0</v>
      </c>
      <c r="T307" s="78">
        <v>37099</v>
      </c>
      <c r="U307" s="112">
        <v>0</v>
      </c>
      <c r="V307" s="112">
        <v>0</v>
      </c>
      <c r="W307" s="78" t="s">
        <v>182</v>
      </c>
    </row>
    <row r="308" spans="1:23" s="115" customFormat="1" ht="14.45" customHeight="1" x14ac:dyDescent="0.2">
      <c r="A308" s="78" t="s">
        <v>181</v>
      </c>
      <c r="B308" s="78" t="s">
        <v>489</v>
      </c>
      <c r="C308" s="78">
        <v>0</v>
      </c>
      <c r="D308" s="78">
        <v>0</v>
      </c>
      <c r="E308" s="78">
        <v>0</v>
      </c>
      <c r="F308" s="78">
        <v>0</v>
      </c>
      <c r="G308" s="78">
        <v>0</v>
      </c>
      <c r="H308" s="78">
        <v>0</v>
      </c>
      <c r="I308" s="78">
        <v>0</v>
      </c>
      <c r="J308" s="78">
        <v>0</v>
      </c>
      <c r="K308" s="78">
        <v>0</v>
      </c>
      <c r="L308" s="78">
        <v>0</v>
      </c>
      <c r="M308" s="78">
        <v>0</v>
      </c>
      <c r="N308" s="78">
        <v>0</v>
      </c>
      <c r="O308" s="78">
        <v>0</v>
      </c>
      <c r="P308" s="78">
        <v>0</v>
      </c>
      <c r="Q308" s="78">
        <v>0</v>
      </c>
      <c r="R308" s="78">
        <v>0</v>
      </c>
      <c r="S308" s="78">
        <v>0</v>
      </c>
      <c r="T308" s="78">
        <v>125802</v>
      </c>
      <c r="U308" s="112">
        <v>0</v>
      </c>
      <c r="V308" s="112">
        <v>0</v>
      </c>
      <c r="W308" s="78" t="s">
        <v>182</v>
      </c>
    </row>
    <row r="309" spans="1:23" s="115" customFormat="1" ht="14.45" customHeight="1" x14ac:dyDescent="0.2">
      <c r="A309" s="78" t="s">
        <v>181</v>
      </c>
      <c r="B309" s="78" t="s">
        <v>492</v>
      </c>
      <c r="C309" s="78">
        <v>0</v>
      </c>
      <c r="D309" s="78">
        <v>0</v>
      </c>
      <c r="E309" s="78">
        <v>0</v>
      </c>
      <c r="F309" s="78">
        <v>0</v>
      </c>
      <c r="G309" s="78">
        <v>0</v>
      </c>
      <c r="H309" s="78">
        <v>0</v>
      </c>
      <c r="I309" s="78">
        <v>0</v>
      </c>
      <c r="J309" s="78">
        <v>0</v>
      </c>
      <c r="K309" s="78">
        <v>0</v>
      </c>
      <c r="L309" s="78">
        <v>0</v>
      </c>
      <c r="M309" s="78">
        <v>0</v>
      </c>
      <c r="N309" s="78">
        <v>0</v>
      </c>
      <c r="O309" s="78">
        <v>0</v>
      </c>
      <c r="P309" s="78">
        <v>0</v>
      </c>
      <c r="Q309" s="78">
        <v>0</v>
      </c>
      <c r="R309" s="78">
        <v>0</v>
      </c>
      <c r="S309" s="78">
        <v>0</v>
      </c>
      <c r="T309" s="78">
        <v>5</v>
      </c>
      <c r="U309" s="112">
        <v>0</v>
      </c>
      <c r="V309" s="112">
        <v>0</v>
      </c>
      <c r="W309" s="78" t="s">
        <v>182</v>
      </c>
    </row>
    <row r="310" spans="1:23" s="115" customFormat="1" ht="14.45" customHeight="1" x14ac:dyDescent="0.2">
      <c r="A310" s="78" t="s">
        <v>181</v>
      </c>
      <c r="B310" s="78" t="s">
        <v>486</v>
      </c>
      <c r="C310" s="78">
        <v>1837</v>
      </c>
      <c r="D310" s="78">
        <v>159</v>
      </c>
      <c r="E310" s="78">
        <v>145</v>
      </c>
      <c r="F310" s="78">
        <v>119</v>
      </c>
      <c r="G310" s="78">
        <v>423</v>
      </c>
      <c r="H310" s="78">
        <v>498</v>
      </c>
      <c r="I310" s="78">
        <v>26</v>
      </c>
      <c r="J310" s="78">
        <v>0</v>
      </c>
      <c r="K310" s="78">
        <v>947</v>
      </c>
      <c r="L310" s="78">
        <v>150</v>
      </c>
      <c r="M310" s="78">
        <v>177</v>
      </c>
      <c r="N310" s="78">
        <v>122</v>
      </c>
      <c r="O310" s="78">
        <v>449</v>
      </c>
      <c r="P310" s="78">
        <v>415</v>
      </c>
      <c r="Q310" s="78">
        <v>26</v>
      </c>
      <c r="R310" s="78">
        <v>0</v>
      </c>
      <c r="S310" s="78">
        <v>890</v>
      </c>
      <c r="T310" s="78">
        <v>1837</v>
      </c>
      <c r="U310" s="112">
        <v>1</v>
      </c>
      <c r="V310" s="112">
        <v>1</v>
      </c>
      <c r="W310" s="78" t="s">
        <v>182</v>
      </c>
    </row>
    <row r="311" spans="1:23" s="115" customFormat="1" ht="14.45" customHeight="1" x14ac:dyDescent="0.2">
      <c r="A311" s="78" t="s">
        <v>183</v>
      </c>
      <c r="B311" s="78" t="s">
        <v>487</v>
      </c>
      <c r="C311" s="78">
        <v>0</v>
      </c>
      <c r="D311" s="78">
        <v>0</v>
      </c>
      <c r="E311" s="78">
        <v>0</v>
      </c>
      <c r="F311" s="78">
        <v>0</v>
      </c>
      <c r="G311" s="78">
        <v>0</v>
      </c>
      <c r="H311" s="78">
        <v>0</v>
      </c>
      <c r="I311" s="78">
        <v>0</v>
      </c>
      <c r="J311" s="78">
        <v>0</v>
      </c>
      <c r="K311" s="78">
        <v>0</v>
      </c>
      <c r="L311" s="78">
        <v>0</v>
      </c>
      <c r="M311" s="78">
        <v>0</v>
      </c>
      <c r="N311" s="78">
        <v>0</v>
      </c>
      <c r="O311" s="78">
        <v>0</v>
      </c>
      <c r="P311" s="78">
        <v>0</v>
      </c>
      <c r="Q311" s="78">
        <v>0</v>
      </c>
      <c r="R311" s="78">
        <v>0</v>
      </c>
      <c r="S311" s="78">
        <v>0</v>
      </c>
      <c r="T311" s="78">
        <v>10</v>
      </c>
      <c r="U311" s="112">
        <v>0</v>
      </c>
      <c r="V311" s="112">
        <v>0</v>
      </c>
      <c r="W311" s="78" t="s">
        <v>184</v>
      </c>
    </row>
    <row r="312" spans="1:23" s="115" customFormat="1" ht="14.45" customHeight="1" x14ac:dyDescent="0.2">
      <c r="A312" s="78" t="s">
        <v>183</v>
      </c>
      <c r="B312" s="78" t="s">
        <v>486</v>
      </c>
      <c r="C312" s="78">
        <v>597</v>
      </c>
      <c r="D312" s="78">
        <v>0</v>
      </c>
      <c r="E312" s="78">
        <v>0</v>
      </c>
      <c r="F312" s="78">
        <v>0</v>
      </c>
      <c r="G312" s="78">
        <v>0</v>
      </c>
      <c r="H312" s="78">
        <v>0</v>
      </c>
      <c r="I312" s="78">
        <v>0</v>
      </c>
      <c r="J312" s="78">
        <v>362</v>
      </c>
      <c r="K312" s="78">
        <v>362</v>
      </c>
      <c r="L312" s="78">
        <v>0</v>
      </c>
      <c r="M312" s="78">
        <v>0</v>
      </c>
      <c r="N312" s="78">
        <v>0</v>
      </c>
      <c r="O312" s="78">
        <v>0</v>
      </c>
      <c r="P312" s="78">
        <v>15</v>
      </c>
      <c r="Q312" s="78">
        <v>0</v>
      </c>
      <c r="R312" s="78">
        <v>220</v>
      </c>
      <c r="S312" s="78">
        <v>235</v>
      </c>
      <c r="T312" s="78">
        <v>597</v>
      </c>
      <c r="U312" s="112">
        <v>2.5125628140703501E-2</v>
      </c>
      <c r="V312" s="112">
        <v>1</v>
      </c>
      <c r="W312" s="78" t="s">
        <v>184</v>
      </c>
    </row>
    <row r="313" spans="1:23" s="115" customFormat="1" ht="14.45" customHeight="1" x14ac:dyDescent="0.2">
      <c r="A313" s="78" t="s">
        <v>185</v>
      </c>
      <c r="B313" s="78" t="s">
        <v>487</v>
      </c>
      <c r="C313" s="78">
        <v>0</v>
      </c>
      <c r="D313" s="78">
        <v>0</v>
      </c>
      <c r="E313" s="78">
        <v>0</v>
      </c>
      <c r="F313" s="78">
        <v>0</v>
      </c>
      <c r="G313" s="78">
        <v>0</v>
      </c>
      <c r="H313" s="78">
        <v>0</v>
      </c>
      <c r="I313" s="78">
        <v>0</v>
      </c>
      <c r="J313" s="78">
        <v>0</v>
      </c>
      <c r="K313" s="78">
        <v>0</v>
      </c>
      <c r="L313" s="78">
        <v>0</v>
      </c>
      <c r="M313" s="78">
        <v>0</v>
      </c>
      <c r="N313" s="78">
        <v>0</v>
      </c>
      <c r="O313" s="78">
        <v>0</v>
      </c>
      <c r="P313" s="78">
        <v>0</v>
      </c>
      <c r="Q313" s="78">
        <v>0</v>
      </c>
      <c r="R313" s="78">
        <v>0</v>
      </c>
      <c r="S313" s="78">
        <v>0</v>
      </c>
      <c r="T313" s="78">
        <v>333</v>
      </c>
      <c r="U313" s="112">
        <v>0</v>
      </c>
      <c r="V313" s="112">
        <v>0</v>
      </c>
      <c r="W313" s="78" t="s">
        <v>186</v>
      </c>
    </row>
    <row r="314" spans="1:23" s="115" customFormat="1" ht="14.45" customHeight="1" x14ac:dyDescent="0.2">
      <c r="A314" s="78" t="s">
        <v>185</v>
      </c>
      <c r="B314" s="78" t="s">
        <v>486</v>
      </c>
      <c r="C314" s="78">
        <v>0</v>
      </c>
      <c r="D314" s="78">
        <v>0</v>
      </c>
      <c r="E314" s="78">
        <v>0</v>
      </c>
      <c r="F314" s="78">
        <v>0</v>
      </c>
      <c r="G314" s="78">
        <v>0</v>
      </c>
      <c r="H314" s="78">
        <v>0</v>
      </c>
      <c r="I314" s="78">
        <v>0</v>
      </c>
      <c r="J314" s="78">
        <v>0</v>
      </c>
      <c r="K314" s="78">
        <v>0</v>
      </c>
      <c r="L314" s="78">
        <v>0</v>
      </c>
      <c r="M314" s="78">
        <v>0</v>
      </c>
      <c r="N314" s="78">
        <v>0</v>
      </c>
      <c r="O314" s="78">
        <v>0</v>
      </c>
      <c r="P314" s="78">
        <v>0</v>
      </c>
      <c r="Q314" s="78">
        <v>0</v>
      </c>
      <c r="R314" s="78">
        <v>0</v>
      </c>
      <c r="S314" s="78">
        <v>0</v>
      </c>
      <c r="T314" s="78">
        <v>80225</v>
      </c>
      <c r="U314" s="112">
        <v>0</v>
      </c>
      <c r="V314" s="112">
        <v>0</v>
      </c>
      <c r="W314" s="78" t="s">
        <v>186</v>
      </c>
    </row>
    <row r="315" spans="1:23" s="115" customFormat="1" ht="14.45" customHeight="1" x14ac:dyDescent="0.2">
      <c r="A315" s="78" t="s">
        <v>185</v>
      </c>
      <c r="B315" s="78" t="s">
        <v>490</v>
      </c>
      <c r="C315" s="78">
        <v>0</v>
      </c>
      <c r="D315" s="78">
        <v>0</v>
      </c>
      <c r="E315" s="78">
        <v>0</v>
      </c>
      <c r="F315" s="78">
        <v>0</v>
      </c>
      <c r="G315" s="78">
        <v>0</v>
      </c>
      <c r="H315" s="78">
        <v>0</v>
      </c>
      <c r="I315" s="78">
        <v>0</v>
      </c>
      <c r="J315" s="78">
        <v>0</v>
      </c>
      <c r="K315" s="78">
        <v>0</v>
      </c>
      <c r="L315" s="78">
        <v>0</v>
      </c>
      <c r="M315" s="78">
        <v>0</v>
      </c>
      <c r="N315" s="78">
        <v>0</v>
      </c>
      <c r="O315" s="78">
        <v>0</v>
      </c>
      <c r="P315" s="78">
        <v>0</v>
      </c>
      <c r="Q315" s="78">
        <v>0</v>
      </c>
      <c r="R315" s="78">
        <v>0</v>
      </c>
      <c r="S315" s="78">
        <v>0</v>
      </c>
      <c r="T315" s="78">
        <v>2283</v>
      </c>
      <c r="U315" s="112">
        <v>0</v>
      </c>
      <c r="V315" s="112">
        <v>0</v>
      </c>
      <c r="W315" s="78" t="s">
        <v>186</v>
      </c>
    </row>
    <row r="316" spans="1:23" s="115" customFormat="1" ht="14.45" customHeight="1" x14ac:dyDescent="0.2">
      <c r="A316" s="78" t="s">
        <v>187</v>
      </c>
      <c r="B316" s="78" t="s">
        <v>487</v>
      </c>
      <c r="C316" s="78">
        <v>3745</v>
      </c>
      <c r="D316" s="78">
        <v>0</v>
      </c>
      <c r="E316" s="78">
        <v>0</v>
      </c>
      <c r="F316" s="78">
        <v>0</v>
      </c>
      <c r="G316" s="78">
        <v>0</v>
      </c>
      <c r="H316" s="78">
        <v>0</v>
      </c>
      <c r="I316" s="78">
        <v>0</v>
      </c>
      <c r="J316" s="78">
        <v>1015</v>
      </c>
      <c r="K316" s="78">
        <v>1015</v>
      </c>
      <c r="L316" s="78">
        <v>0</v>
      </c>
      <c r="M316" s="78">
        <v>0</v>
      </c>
      <c r="N316" s="78">
        <v>0</v>
      </c>
      <c r="O316" s="78">
        <v>0</v>
      </c>
      <c r="P316" s="78">
        <v>0</v>
      </c>
      <c r="Q316" s="78">
        <v>0</v>
      </c>
      <c r="R316" s="78">
        <v>2730</v>
      </c>
      <c r="S316" s="78">
        <v>2730</v>
      </c>
      <c r="T316" s="78">
        <v>3745</v>
      </c>
      <c r="U316" s="112">
        <v>0</v>
      </c>
      <c r="V316" s="112">
        <v>1</v>
      </c>
      <c r="W316" s="78" t="s">
        <v>188</v>
      </c>
    </row>
    <row r="317" spans="1:23" s="115" customFormat="1" ht="14.45" customHeight="1" x14ac:dyDescent="0.2">
      <c r="A317" s="78" t="s">
        <v>187</v>
      </c>
      <c r="B317" s="78" t="s">
        <v>491</v>
      </c>
      <c r="C317" s="78">
        <v>0</v>
      </c>
      <c r="D317" s="78">
        <v>0</v>
      </c>
      <c r="E317" s="78">
        <v>0</v>
      </c>
      <c r="F317" s="78">
        <v>0</v>
      </c>
      <c r="G317" s="78">
        <v>0</v>
      </c>
      <c r="H317" s="78">
        <v>0</v>
      </c>
      <c r="I317" s="78">
        <v>0</v>
      </c>
      <c r="J317" s="78">
        <v>0</v>
      </c>
      <c r="K317" s="78">
        <v>0</v>
      </c>
      <c r="L317" s="78">
        <v>0</v>
      </c>
      <c r="M317" s="78">
        <v>0</v>
      </c>
      <c r="N317" s="78">
        <v>0</v>
      </c>
      <c r="O317" s="78">
        <v>0</v>
      </c>
      <c r="P317" s="78">
        <v>0</v>
      </c>
      <c r="Q317" s="78">
        <v>0</v>
      </c>
      <c r="R317" s="78">
        <v>0</v>
      </c>
      <c r="S317" s="78">
        <v>0</v>
      </c>
      <c r="T317" s="78">
        <v>80</v>
      </c>
      <c r="U317" s="112">
        <v>0</v>
      </c>
      <c r="V317" s="112">
        <v>0</v>
      </c>
      <c r="W317" s="78" t="s">
        <v>188</v>
      </c>
    </row>
    <row r="318" spans="1:23" s="115" customFormat="1" ht="14.45" customHeight="1" x14ac:dyDescent="0.2">
      <c r="A318" s="78" t="s">
        <v>187</v>
      </c>
      <c r="B318" s="78" t="s">
        <v>486</v>
      </c>
      <c r="C318" s="78">
        <v>0</v>
      </c>
      <c r="D318" s="78">
        <v>0</v>
      </c>
      <c r="E318" s="78">
        <v>0</v>
      </c>
      <c r="F318" s="78">
        <v>0</v>
      </c>
      <c r="G318" s="78">
        <v>0</v>
      </c>
      <c r="H318" s="78">
        <v>0</v>
      </c>
      <c r="I318" s="78">
        <v>0</v>
      </c>
      <c r="J318" s="78">
        <v>0</v>
      </c>
      <c r="K318" s="78">
        <v>0</v>
      </c>
      <c r="L318" s="78">
        <v>0</v>
      </c>
      <c r="M318" s="78">
        <v>0</v>
      </c>
      <c r="N318" s="78">
        <v>0</v>
      </c>
      <c r="O318" s="78">
        <v>0</v>
      </c>
      <c r="P318" s="78">
        <v>0</v>
      </c>
      <c r="Q318" s="78">
        <v>0</v>
      </c>
      <c r="R318" s="78">
        <v>0</v>
      </c>
      <c r="S318" s="78">
        <v>0</v>
      </c>
      <c r="T318" s="78">
        <v>13735</v>
      </c>
      <c r="U318" s="112">
        <v>0</v>
      </c>
      <c r="V318" s="112">
        <v>0</v>
      </c>
      <c r="W318" s="78" t="s">
        <v>188</v>
      </c>
    </row>
    <row r="319" spans="1:23" s="115" customFormat="1" ht="14.45" customHeight="1" x14ac:dyDescent="0.2">
      <c r="A319" s="78" t="s">
        <v>189</v>
      </c>
      <c r="B319" s="78" t="s">
        <v>487</v>
      </c>
      <c r="C319" s="78">
        <v>938</v>
      </c>
      <c r="D319" s="78">
        <v>47</v>
      </c>
      <c r="E319" s="78">
        <v>73</v>
      </c>
      <c r="F319" s="78">
        <v>44</v>
      </c>
      <c r="G319" s="78">
        <v>164</v>
      </c>
      <c r="H319" s="78">
        <v>255</v>
      </c>
      <c r="I319" s="78">
        <v>11</v>
      </c>
      <c r="J319" s="78">
        <v>0</v>
      </c>
      <c r="K319" s="78">
        <v>430</v>
      </c>
      <c r="L319" s="78">
        <v>44</v>
      </c>
      <c r="M319" s="78">
        <v>78</v>
      </c>
      <c r="N319" s="78">
        <v>70</v>
      </c>
      <c r="O319" s="78">
        <v>192</v>
      </c>
      <c r="P319" s="78">
        <v>309</v>
      </c>
      <c r="Q319" s="78">
        <v>7</v>
      </c>
      <c r="R319" s="78">
        <v>0</v>
      </c>
      <c r="S319" s="78">
        <v>508</v>
      </c>
      <c r="T319" s="78">
        <v>938</v>
      </c>
      <c r="U319" s="112">
        <v>1</v>
      </c>
      <c r="V319" s="112">
        <v>1</v>
      </c>
      <c r="W319" s="78" t="s">
        <v>190</v>
      </c>
    </row>
    <row r="320" spans="1:23" s="115" customFormat="1" ht="14.45" customHeight="1" x14ac:dyDescent="0.2">
      <c r="A320" s="78" t="s">
        <v>189</v>
      </c>
      <c r="B320" s="78" t="s">
        <v>491</v>
      </c>
      <c r="C320" s="78">
        <v>19</v>
      </c>
      <c r="D320" s="78">
        <v>5</v>
      </c>
      <c r="E320" s="78">
        <v>0</v>
      </c>
      <c r="F320" s="78">
        <v>0</v>
      </c>
      <c r="G320" s="78">
        <v>5</v>
      </c>
      <c r="H320" s="78">
        <v>7</v>
      </c>
      <c r="I320" s="78">
        <v>0</v>
      </c>
      <c r="J320" s="78">
        <v>0</v>
      </c>
      <c r="K320" s="78">
        <v>12</v>
      </c>
      <c r="L320" s="78">
        <v>7</v>
      </c>
      <c r="M320" s="78">
        <v>0</v>
      </c>
      <c r="N320" s="78">
        <v>0</v>
      </c>
      <c r="O320" s="78">
        <v>7</v>
      </c>
      <c r="P320" s="78">
        <v>0</v>
      </c>
      <c r="Q320" s="78">
        <v>0</v>
      </c>
      <c r="R320" s="78">
        <v>0</v>
      </c>
      <c r="S320" s="78">
        <v>7</v>
      </c>
      <c r="T320" s="78">
        <v>19</v>
      </c>
      <c r="U320" s="112">
        <v>1</v>
      </c>
      <c r="V320" s="112">
        <v>1</v>
      </c>
      <c r="W320" s="78" t="s">
        <v>190</v>
      </c>
    </row>
    <row r="321" spans="1:23" s="115" customFormat="1" ht="14.45" customHeight="1" x14ac:dyDescent="0.2">
      <c r="A321" s="78" t="s">
        <v>189</v>
      </c>
      <c r="B321" s="78" t="s">
        <v>486</v>
      </c>
      <c r="C321" s="78">
        <v>49</v>
      </c>
      <c r="D321" s="78">
        <v>0</v>
      </c>
      <c r="E321" s="78">
        <v>6</v>
      </c>
      <c r="F321" s="78">
        <v>0</v>
      </c>
      <c r="G321" s="78">
        <v>6</v>
      </c>
      <c r="H321" s="78">
        <v>21</v>
      </c>
      <c r="I321" s="78">
        <v>0</v>
      </c>
      <c r="J321" s="78">
        <v>0</v>
      </c>
      <c r="K321" s="78">
        <v>27</v>
      </c>
      <c r="L321" s="78">
        <v>0</v>
      </c>
      <c r="M321" s="78">
        <v>0</v>
      </c>
      <c r="N321" s="78">
        <v>9</v>
      </c>
      <c r="O321" s="78">
        <v>9</v>
      </c>
      <c r="P321" s="78">
        <v>13</v>
      </c>
      <c r="Q321" s="78">
        <v>0</v>
      </c>
      <c r="R321" s="78">
        <v>0</v>
      </c>
      <c r="S321" s="78">
        <v>22</v>
      </c>
      <c r="T321" s="78">
        <v>49</v>
      </c>
      <c r="U321" s="112">
        <v>1</v>
      </c>
      <c r="V321" s="112">
        <v>1</v>
      </c>
      <c r="W321" s="78" t="s">
        <v>190</v>
      </c>
    </row>
    <row r="322" spans="1:23" s="115" customFormat="1" ht="14.45" customHeight="1" x14ac:dyDescent="0.2">
      <c r="A322" s="78" t="s">
        <v>191</v>
      </c>
      <c r="B322" s="78" t="s">
        <v>487</v>
      </c>
      <c r="C322" s="78">
        <v>17695</v>
      </c>
      <c r="D322" s="78">
        <v>1220</v>
      </c>
      <c r="E322" s="78">
        <v>1379</v>
      </c>
      <c r="F322" s="78">
        <v>1053</v>
      </c>
      <c r="G322" s="78">
        <v>3652</v>
      </c>
      <c r="H322" s="78">
        <v>3862</v>
      </c>
      <c r="I322" s="78">
        <v>151</v>
      </c>
      <c r="J322" s="78">
        <v>0</v>
      </c>
      <c r="K322" s="78">
        <v>7665</v>
      </c>
      <c r="L322" s="78">
        <v>1284</v>
      </c>
      <c r="M322" s="78">
        <v>1472</v>
      </c>
      <c r="N322" s="78">
        <v>1106</v>
      </c>
      <c r="O322" s="78">
        <v>3862</v>
      </c>
      <c r="P322" s="78">
        <v>6061</v>
      </c>
      <c r="Q322" s="78">
        <v>107</v>
      </c>
      <c r="R322" s="78">
        <v>0</v>
      </c>
      <c r="S322" s="78">
        <v>10030</v>
      </c>
      <c r="T322" s="78">
        <v>17695</v>
      </c>
      <c r="U322" s="112">
        <v>1</v>
      </c>
      <c r="V322" s="112">
        <v>1</v>
      </c>
      <c r="W322" s="78" t="s">
        <v>192</v>
      </c>
    </row>
    <row r="323" spans="1:23" s="115" customFormat="1" ht="14.45" customHeight="1" x14ac:dyDescent="0.2">
      <c r="A323" s="78" t="s">
        <v>191</v>
      </c>
      <c r="B323" s="78" t="s">
        <v>491</v>
      </c>
      <c r="C323" s="78">
        <v>5</v>
      </c>
      <c r="D323" s="78">
        <v>0</v>
      </c>
      <c r="E323" s="78">
        <v>0</v>
      </c>
      <c r="F323" s="78">
        <v>0</v>
      </c>
      <c r="G323" s="78">
        <v>0</v>
      </c>
      <c r="H323" s="78">
        <v>0</v>
      </c>
      <c r="I323" s="78">
        <v>0</v>
      </c>
      <c r="J323" s="78">
        <v>0</v>
      </c>
      <c r="K323" s="78">
        <v>0</v>
      </c>
      <c r="L323" s="78">
        <v>5</v>
      </c>
      <c r="M323" s="78">
        <v>0</v>
      </c>
      <c r="N323" s="78">
        <v>0</v>
      </c>
      <c r="O323" s="78">
        <v>5</v>
      </c>
      <c r="P323" s="78">
        <v>0</v>
      </c>
      <c r="Q323" s="78">
        <v>0</v>
      </c>
      <c r="R323" s="78">
        <v>0</v>
      </c>
      <c r="S323" s="78">
        <v>5</v>
      </c>
      <c r="T323" s="78">
        <v>5</v>
      </c>
      <c r="U323" s="112">
        <v>1</v>
      </c>
      <c r="V323" s="112">
        <v>1</v>
      </c>
      <c r="W323" s="78" t="s">
        <v>192</v>
      </c>
    </row>
    <row r="324" spans="1:23" s="115" customFormat="1" ht="14.45" customHeight="1" x14ac:dyDescent="0.2">
      <c r="A324" s="78" t="s">
        <v>191</v>
      </c>
      <c r="B324" s="78" t="s">
        <v>486</v>
      </c>
      <c r="C324" s="78">
        <v>35201</v>
      </c>
      <c r="D324" s="78">
        <v>3145</v>
      </c>
      <c r="E324" s="78">
        <v>3674</v>
      </c>
      <c r="F324" s="78">
        <v>2568</v>
      </c>
      <c r="G324" s="78">
        <v>9387</v>
      </c>
      <c r="H324" s="78">
        <v>7236</v>
      </c>
      <c r="I324" s="78">
        <v>316</v>
      </c>
      <c r="J324" s="78">
        <v>0</v>
      </c>
      <c r="K324" s="78">
        <v>16939</v>
      </c>
      <c r="L324" s="78">
        <v>3093</v>
      </c>
      <c r="M324" s="78">
        <v>3622</v>
      </c>
      <c r="N324" s="78">
        <v>2724</v>
      </c>
      <c r="O324" s="78">
        <v>9439</v>
      </c>
      <c r="P324" s="78">
        <v>8582</v>
      </c>
      <c r="Q324" s="78">
        <v>241</v>
      </c>
      <c r="R324" s="78">
        <v>0</v>
      </c>
      <c r="S324" s="78">
        <v>18262</v>
      </c>
      <c r="T324" s="78">
        <v>35201</v>
      </c>
      <c r="U324" s="112">
        <v>1</v>
      </c>
      <c r="V324" s="112">
        <v>1</v>
      </c>
      <c r="W324" s="78" t="s">
        <v>192</v>
      </c>
    </row>
    <row r="325" spans="1:23" s="115" customFormat="1" ht="14.45" customHeight="1" x14ac:dyDescent="0.2">
      <c r="A325" s="78" t="s">
        <v>401</v>
      </c>
      <c r="B325" s="78" t="s">
        <v>487</v>
      </c>
      <c r="C325" s="78">
        <v>48571</v>
      </c>
      <c r="D325" s="78">
        <v>1532</v>
      </c>
      <c r="E325" s="78">
        <v>2045</v>
      </c>
      <c r="F325" s="78">
        <v>927</v>
      </c>
      <c r="G325" s="78">
        <v>4504</v>
      </c>
      <c r="H325" s="78">
        <v>11258</v>
      </c>
      <c r="I325" s="78">
        <v>263</v>
      </c>
      <c r="J325" s="78">
        <v>0</v>
      </c>
      <c r="K325" s="78">
        <v>16025</v>
      </c>
      <c r="L325" s="78">
        <v>1681</v>
      </c>
      <c r="M325" s="78">
        <v>2114</v>
      </c>
      <c r="N325" s="78">
        <v>1079</v>
      </c>
      <c r="O325" s="78">
        <v>4874</v>
      </c>
      <c r="P325" s="78">
        <v>27373</v>
      </c>
      <c r="Q325" s="78">
        <v>299</v>
      </c>
      <c r="R325" s="78">
        <v>0</v>
      </c>
      <c r="S325" s="78">
        <v>32546</v>
      </c>
      <c r="T325" s="78">
        <v>48571</v>
      </c>
      <c r="U325" s="112">
        <v>1</v>
      </c>
      <c r="V325" s="112">
        <v>1</v>
      </c>
      <c r="W325" s="78" t="s">
        <v>193</v>
      </c>
    </row>
    <row r="326" spans="1:23" s="115" customFormat="1" ht="14.45" customHeight="1" x14ac:dyDescent="0.2">
      <c r="A326" s="78" t="s">
        <v>401</v>
      </c>
      <c r="B326" s="78" t="s">
        <v>491</v>
      </c>
      <c r="C326" s="78">
        <v>814</v>
      </c>
      <c r="D326" s="78">
        <v>0</v>
      </c>
      <c r="E326" s="78">
        <v>12</v>
      </c>
      <c r="F326" s="78">
        <v>5</v>
      </c>
      <c r="G326" s="78">
        <v>17</v>
      </c>
      <c r="H326" s="78">
        <v>770</v>
      </c>
      <c r="I326" s="78">
        <v>8</v>
      </c>
      <c r="J326" s="78">
        <v>0</v>
      </c>
      <c r="K326" s="78">
        <v>795</v>
      </c>
      <c r="L326" s="78">
        <v>0</v>
      </c>
      <c r="M326" s="78">
        <v>8</v>
      </c>
      <c r="N326" s="78">
        <v>5</v>
      </c>
      <c r="O326" s="78">
        <v>13</v>
      </c>
      <c r="P326" s="78">
        <v>6</v>
      </c>
      <c r="Q326" s="78">
        <v>0</v>
      </c>
      <c r="R326" s="78">
        <v>0</v>
      </c>
      <c r="S326" s="78">
        <v>19</v>
      </c>
      <c r="T326" s="78">
        <v>55814</v>
      </c>
      <c r="U326" s="112">
        <v>1.4584154513204601E-2</v>
      </c>
      <c r="V326" s="112">
        <v>1.4584154513204601E-2</v>
      </c>
      <c r="W326" s="78" t="s">
        <v>193</v>
      </c>
    </row>
    <row r="327" spans="1:23" s="115" customFormat="1" ht="14.45" customHeight="1" x14ac:dyDescent="0.2">
      <c r="A327" s="78" t="s">
        <v>401</v>
      </c>
      <c r="B327" s="78" t="s">
        <v>486</v>
      </c>
      <c r="C327" s="78">
        <v>135872</v>
      </c>
      <c r="D327" s="78">
        <v>6606</v>
      </c>
      <c r="E327" s="78">
        <v>9806</v>
      </c>
      <c r="F327" s="78">
        <v>4109</v>
      </c>
      <c r="G327" s="78">
        <v>20521</v>
      </c>
      <c r="H327" s="78">
        <v>26080</v>
      </c>
      <c r="I327" s="78">
        <v>707</v>
      </c>
      <c r="J327" s="78">
        <v>0</v>
      </c>
      <c r="K327" s="78">
        <v>47308</v>
      </c>
      <c r="L327" s="78">
        <v>7177</v>
      </c>
      <c r="M327" s="78">
        <v>10366</v>
      </c>
      <c r="N327" s="78">
        <v>4160</v>
      </c>
      <c r="O327" s="78">
        <v>21703</v>
      </c>
      <c r="P327" s="78">
        <v>65544</v>
      </c>
      <c r="Q327" s="78">
        <v>1317</v>
      </c>
      <c r="R327" s="78">
        <v>0</v>
      </c>
      <c r="S327" s="78">
        <v>88564</v>
      </c>
      <c r="T327" s="78">
        <v>135872</v>
      </c>
      <c r="U327" s="112">
        <v>1</v>
      </c>
      <c r="V327" s="112">
        <v>1</v>
      </c>
      <c r="W327" s="78" t="s">
        <v>193</v>
      </c>
    </row>
    <row r="328" spans="1:23" s="115" customFormat="1" ht="14.45" customHeight="1" x14ac:dyDescent="0.2">
      <c r="A328" s="78" t="s">
        <v>401</v>
      </c>
      <c r="B328" s="78" t="s">
        <v>490</v>
      </c>
      <c r="C328" s="78">
        <v>0</v>
      </c>
      <c r="D328" s="78">
        <v>0</v>
      </c>
      <c r="E328" s="78">
        <v>0</v>
      </c>
      <c r="F328" s="78">
        <v>0</v>
      </c>
      <c r="G328" s="78">
        <v>0</v>
      </c>
      <c r="H328" s="78">
        <v>0</v>
      </c>
      <c r="I328" s="78">
        <v>0</v>
      </c>
      <c r="J328" s="78">
        <v>0</v>
      </c>
      <c r="K328" s="78">
        <v>0</v>
      </c>
      <c r="L328" s="78">
        <v>0</v>
      </c>
      <c r="M328" s="78">
        <v>0</v>
      </c>
      <c r="N328" s="78">
        <v>0</v>
      </c>
      <c r="O328" s="78">
        <v>0</v>
      </c>
      <c r="P328" s="78">
        <v>0</v>
      </c>
      <c r="Q328" s="78">
        <v>0</v>
      </c>
      <c r="R328" s="78">
        <v>0</v>
      </c>
      <c r="S328" s="78">
        <v>0</v>
      </c>
      <c r="T328" s="78">
        <v>9392</v>
      </c>
      <c r="U328" s="112">
        <v>0</v>
      </c>
      <c r="V328" s="112">
        <v>0</v>
      </c>
      <c r="W328" s="78" t="s">
        <v>193</v>
      </c>
    </row>
    <row r="329" spans="1:23" s="115" customFormat="1" ht="14.45" customHeight="1" x14ac:dyDescent="0.2">
      <c r="A329" s="78" t="s">
        <v>194</v>
      </c>
      <c r="B329" s="78" t="s">
        <v>487</v>
      </c>
      <c r="C329" s="78">
        <v>273</v>
      </c>
      <c r="D329" s="78">
        <v>5</v>
      </c>
      <c r="E329" s="78">
        <v>29</v>
      </c>
      <c r="F329" s="78">
        <v>14</v>
      </c>
      <c r="G329" s="78">
        <v>48</v>
      </c>
      <c r="H329" s="78">
        <v>81</v>
      </c>
      <c r="I329" s="78">
        <v>5</v>
      </c>
      <c r="J329" s="78">
        <v>0</v>
      </c>
      <c r="K329" s="78">
        <v>134</v>
      </c>
      <c r="L329" s="78">
        <v>10</v>
      </c>
      <c r="M329" s="78">
        <v>36</v>
      </c>
      <c r="N329" s="78">
        <v>20</v>
      </c>
      <c r="O329" s="78">
        <v>66</v>
      </c>
      <c r="P329" s="78">
        <v>73</v>
      </c>
      <c r="Q329" s="78">
        <v>0</v>
      </c>
      <c r="R329" s="78">
        <v>0</v>
      </c>
      <c r="S329" s="78">
        <v>139</v>
      </c>
      <c r="T329" s="78">
        <v>273</v>
      </c>
      <c r="U329" s="112">
        <v>1</v>
      </c>
      <c r="V329" s="112">
        <v>1</v>
      </c>
      <c r="W329" s="78" t="s">
        <v>195</v>
      </c>
    </row>
    <row r="330" spans="1:23" s="115" customFormat="1" ht="14.45" customHeight="1" x14ac:dyDescent="0.2">
      <c r="A330" s="78" t="s">
        <v>194</v>
      </c>
      <c r="B330" s="78" t="s">
        <v>493</v>
      </c>
      <c r="C330" s="78">
        <v>79763</v>
      </c>
      <c r="D330" s="78">
        <v>0</v>
      </c>
      <c r="E330" s="78">
        <v>0</v>
      </c>
      <c r="F330" s="78">
        <v>0</v>
      </c>
      <c r="G330" s="78">
        <v>0</v>
      </c>
      <c r="H330" s="78">
        <v>0</v>
      </c>
      <c r="I330" s="78">
        <v>0</v>
      </c>
      <c r="J330" s="78">
        <v>43805</v>
      </c>
      <c r="K330" s="78">
        <v>43805</v>
      </c>
      <c r="L330" s="78">
        <v>0</v>
      </c>
      <c r="M330" s="78">
        <v>0</v>
      </c>
      <c r="N330" s="78">
        <v>0</v>
      </c>
      <c r="O330" s="78">
        <v>0</v>
      </c>
      <c r="P330" s="78">
        <v>0</v>
      </c>
      <c r="Q330" s="78">
        <v>0</v>
      </c>
      <c r="R330" s="78">
        <v>35958</v>
      </c>
      <c r="S330" s="78">
        <v>35958</v>
      </c>
      <c r="T330" s="78">
        <v>79763</v>
      </c>
      <c r="U330" s="112">
        <v>0</v>
      </c>
      <c r="V330" s="112">
        <v>1</v>
      </c>
      <c r="W330" s="78" t="s">
        <v>195</v>
      </c>
    </row>
    <row r="331" spans="1:23" s="115" customFormat="1" ht="14.45" customHeight="1" x14ac:dyDescent="0.2">
      <c r="A331" s="78" t="s">
        <v>194</v>
      </c>
      <c r="B331" s="78" t="s">
        <v>489</v>
      </c>
      <c r="C331" s="78">
        <v>354739</v>
      </c>
      <c r="D331" s="78">
        <v>0</v>
      </c>
      <c r="E331" s="78">
        <v>0</v>
      </c>
      <c r="F331" s="78">
        <v>0</v>
      </c>
      <c r="G331" s="78">
        <v>0</v>
      </c>
      <c r="H331" s="78">
        <v>0</v>
      </c>
      <c r="I331" s="78">
        <v>0</v>
      </c>
      <c r="J331" s="78">
        <v>202137</v>
      </c>
      <c r="K331" s="78">
        <v>202137</v>
      </c>
      <c r="L331" s="78">
        <v>0</v>
      </c>
      <c r="M331" s="78">
        <v>0</v>
      </c>
      <c r="N331" s="78">
        <v>0</v>
      </c>
      <c r="O331" s="78">
        <v>0</v>
      </c>
      <c r="P331" s="78">
        <v>0</v>
      </c>
      <c r="Q331" s="78">
        <v>0</v>
      </c>
      <c r="R331" s="78">
        <v>152602</v>
      </c>
      <c r="S331" s="78">
        <v>152602</v>
      </c>
      <c r="T331" s="78">
        <v>354739</v>
      </c>
      <c r="U331" s="112">
        <v>0</v>
      </c>
      <c r="V331" s="112">
        <v>1</v>
      </c>
      <c r="W331" s="78" t="s">
        <v>195</v>
      </c>
    </row>
    <row r="332" spans="1:23" s="115" customFormat="1" ht="14.45" customHeight="1" x14ac:dyDescent="0.2">
      <c r="A332" s="78" t="s">
        <v>194</v>
      </c>
      <c r="B332" s="78" t="s">
        <v>492</v>
      </c>
      <c r="C332" s="78">
        <v>574</v>
      </c>
      <c r="D332" s="78">
        <v>11</v>
      </c>
      <c r="E332" s="78">
        <v>34</v>
      </c>
      <c r="F332" s="78">
        <v>43</v>
      </c>
      <c r="G332" s="78">
        <v>88</v>
      </c>
      <c r="H332" s="78">
        <v>176</v>
      </c>
      <c r="I332" s="78">
        <v>20</v>
      </c>
      <c r="J332" s="78">
        <v>0</v>
      </c>
      <c r="K332" s="78">
        <v>284</v>
      </c>
      <c r="L332" s="78">
        <v>10</v>
      </c>
      <c r="M332" s="78">
        <v>39</v>
      </c>
      <c r="N332" s="78">
        <v>50</v>
      </c>
      <c r="O332" s="78">
        <v>99</v>
      </c>
      <c r="P332" s="78">
        <v>168</v>
      </c>
      <c r="Q332" s="78">
        <v>23</v>
      </c>
      <c r="R332" s="78">
        <v>0</v>
      </c>
      <c r="S332" s="78">
        <v>290</v>
      </c>
      <c r="T332" s="78">
        <v>574</v>
      </c>
      <c r="U332" s="112">
        <v>1</v>
      </c>
      <c r="V332" s="112">
        <v>1</v>
      </c>
      <c r="W332" s="78" t="s">
        <v>195</v>
      </c>
    </row>
    <row r="333" spans="1:23" s="115" customFormat="1" ht="14.45" customHeight="1" x14ac:dyDescent="0.2">
      <c r="A333" s="78" t="s">
        <v>194</v>
      </c>
      <c r="B333" s="78" t="s">
        <v>486</v>
      </c>
      <c r="C333" s="78">
        <v>66443</v>
      </c>
      <c r="D333" s="78">
        <v>2868</v>
      </c>
      <c r="E333" s="78">
        <v>8983</v>
      </c>
      <c r="F333" s="78">
        <v>4908</v>
      </c>
      <c r="G333" s="78">
        <v>16759</v>
      </c>
      <c r="H333" s="78">
        <v>17401</v>
      </c>
      <c r="I333" s="78">
        <v>1474</v>
      </c>
      <c r="J333" s="78">
        <v>0</v>
      </c>
      <c r="K333" s="78">
        <v>35634</v>
      </c>
      <c r="L333" s="78">
        <v>2860</v>
      </c>
      <c r="M333" s="78">
        <v>9176</v>
      </c>
      <c r="N333" s="78">
        <v>4715</v>
      </c>
      <c r="O333" s="78">
        <v>16751</v>
      </c>
      <c r="P333" s="78">
        <v>12393</v>
      </c>
      <c r="Q333" s="78">
        <v>1665</v>
      </c>
      <c r="R333" s="78">
        <v>0</v>
      </c>
      <c r="S333" s="78">
        <v>30809</v>
      </c>
      <c r="T333" s="78">
        <v>66443</v>
      </c>
      <c r="U333" s="112">
        <v>1</v>
      </c>
      <c r="V333" s="112">
        <v>1</v>
      </c>
      <c r="W333" s="78" t="s">
        <v>195</v>
      </c>
    </row>
    <row r="334" spans="1:23" s="115" customFormat="1" ht="14.45" customHeight="1" x14ac:dyDescent="0.2">
      <c r="A334" s="78" t="s">
        <v>196</v>
      </c>
      <c r="B334" s="78" t="s">
        <v>487</v>
      </c>
      <c r="C334" s="78">
        <v>815</v>
      </c>
      <c r="D334" s="78">
        <v>0</v>
      </c>
      <c r="E334" s="78">
        <v>0</v>
      </c>
      <c r="F334" s="78">
        <v>0</v>
      </c>
      <c r="G334" s="78">
        <v>0</v>
      </c>
      <c r="H334" s="78">
        <v>0</v>
      </c>
      <c r="I334" s="78">
        <v>0</v>
      </c>
      <c r="J334" s="78">
        <v>275</v>
      </c>
      <c r="K334" s="78">
        <v>275</v>
      </c>
      <c r="L334" s="78">
        <v>0</v>
      </c>
      <c r="M334" s="78">
        <v>0</v>
      </c>
      <c r="N334" s="78">
        <v>0</v>
      </c>
      <c r="O334" s="78">
        <v>0</v>
      </c>
      <c r="P334" s="78">
        <v>0</v>
      </c>
      <c r="Q334" s="78">
        <v>0</v>
      </c>
      <c r="R334" s="78">
        <v>540</v>
      </c>
      <c r="S334" s="78">
        <v>540</v>
      </c>
      <c r="T334" s="78">
        <v>815</v>
      </c>
      <c r="U334" s="112">
        <v>0</v>
      </c>
      <c r="V334" s="112">
        <v>1</v>
      </c>
      <c r="W334" s="78" t="s">
        <v>197</v>
      </c>
    </row>
    <row r="335" spans="1:23" s="115" customFormat="1" ht="14.45" customHeight="1" x14ac:dyDescent="0.2">
      <c r="A335" s="78" t="s">
        <v>196</v>
      </c>
      <c r="B335" s="78" t="s">
        <v>486</v>
      </c>
      <c r="C335" s="78">
        <v>0</v>
      </c>
      <c r="D335" s="78">
        <v>0</v>
      </c>
      <c r="E335" s="78">
        <v>0</v>
      </c>
      <c r="F335" s="78">
        <v>0</v>
      </c>
      <c r="G335" s="78">
        <v>0</v>
      </c>
      <c r="H335" s="78">
        <v>0</v>
      </c>
      <c r="I335" s="78">
        <v>0</v>
      </c>
      <c r="J335" s="78">
        <v>0</v>
      </c>
      <c r="K335" s="78">
        <v>0</v>
      </c>
      <c r="L335" s="78">
        <v>0</v>
      </c>
      <c r="M335" s="78">
        <v>0</v>
      </c>
      <c r="N335" s="78">
        <v>0</v>
      </c>
      <c r="O335" s="78">
        <v>0</v>
      </c>
      <c r="P335" s="78">
        <v>0</v>
      </c>
      <c r="Q335" s="78">
        <v>0</v>
      </c>
      <c r="R335" s="78">
        <v>0</v>
      </c>
      <c r="S335" s="78">
        <v>0</v>
      </c>
      <c r="T335" s="78">
        <v>11724</v>
      </c>
      <c r="U335" s="112">
        <v>0</v>
      </c>
      <c r="V335" s="112">
        <v>0</v>
      </c>
      <c r="W335" s="78" t="s">
        <v>197</v>
      </c>
    </row>
    <row r="336" spans="1:23" s="115" customFormat="1" ht="14.45" customHeight="1" x14ac:dyDescent="0.2">
      <c r="A336" s="78" t="s">
        <v>198</v>
      </c>
      <c r="B336" s="78" t="s">
        <v>487</v>
      </c>
      <c r="C336" s="78">
        <v>5927</v>
      </c>
      <c r="D336" s="78">
        <v>397</v>
      </c>
      <c r="E336" s="78">
        <v>416</v>
      </c>
      <c r="F336" s="78">
        <v>149</v>
      </c>
      <c r="G336" s="78">
        <v>962</v>
      </c>
      <c r="H336" s="78">
        <v>1263</v>
      </c>
      <c r="I336" s="78">
        <v>9</v>
      </c>
      <c r="J336" s="78">
        <v>0</v>
      </c>
      <c r="K336" s="78">
        <v>2234</v>
      </c>
      <c r="L336" s="78">
        <v>400</v>
      </c>
      <c r="M336" s="78">
        <v>376</v>
      </c>
      <c r="N336" s="78">
        <v>145</v>
      </c>
      <c r="O336" s="78">
        <v>921</v>
      </c>
      <c r="P336" s="78">
        <v>2733</v>
      </c>
      <c r="Q336" s="78">
        <v>39</v>
      </c>
      <c r="R336" s="78">
        <v>0</v>
      </c>
      <c r="S336" s="78">
        <v>3693</v>
      </c>
      <c r="T336" s="78">
        <v>5927</v>
      </c>
      <c r="U336" s="112">
        <v>1</v>
      </c>
      <c r="V336" s="112">
        <v>1</v>
      </c>
      <c r="W336" s="78" t="s">
        <v>199</v>
      </c>
    </row>
    <row r="337" spans="1:23" s="115" customFormat="1" ht="14.45" customHeight="1" x14ac:dyDescent="0.2">
      <c r="A337" s="78" t="s">
        <v>198</v>
      </c>
      <c r="B337" s="78" t="s">
        <v>486</v>
      </c>
      <c r="C337" s="78">
        <v>112549</v>
      </c>
      <c r="D337" s="78">
        <v>8787</v>
      </c>
      <c r="E337" s="78">
        <v>13957</v>
      </c>
      <c r="F337" s="78">
        <v>8808</v>
      </c>
      <c r="G337" s="78">
        <v>31552</v>
      </c>
      <c r="H337" s="78">
        <v>24780</v>
      </c>
      <c r="I337" s="78">
        <v>2329</v>
      </c>
      <c r="J337" s="78">
        <v>0</v>
      </c>
      <c r="K337" s="78">
        <v>58661</v>
      </c>
      <c r="L337" s="78">
        <v>8631</v>
      </c>
      <c r="M337" s="78">
        <v>13358</v>
      </c>
      <c r="N337" s="78">
        <v>8177</v>
      </c>
      <c r="O337" s="78">
        <v>30166</v>
      </c>
      <c r="P337" s="78">
        <v>21536</v>
      </c>
      <c r="Q337" s="78">
        <v>2186</v>
      </c>
      <c r="R337" s="78">
        <v>0</v>
      </c>
      <c r="S337" s="78">
        <v>53888</v>
      </c>
      <c r="T337" s="78">
        <v>112549</v>
      </c>
      <c r="U337" s="112">
        <v>1</v>
      </c>
      <c r="V337" s="112">
        <v>1</v>
      </c>
      <c r="W337" s="78" t="s">
        <v>199</v>
      </c>
    </row>
    <row r="338" spans="1:23" s="115" customFormat="1" ht="14.45" customHeight="1" x14ac:dyDescent="0.2">
      <c r="A338" s="78" t="s">
        <v>404</v>
      </c>
      <c r="B338" s="78" t="s">
        <v>487</v>
      </c>
      <c r="C338" s="78">
        <v>19</v>
      </c>
      <c r="D338" s="78">
        <v>0</v>
      </c>
      <c r="E338" s="78">
        <v>10</v>
      </c>
      <c r="F338" s="78">
        <v>0</v>
      </c>
      <c r="G338" s="78">
        <v>10</v>
      </c>
      <c r="H338" s="78">
        <v>0</v>
      </c>
      <c r="I338" s="78">
        <v>0</v>
      </c>
      <c r="J338" s="78">
        <v>0</v>
      </c>
      <c r="K338" s="78">
        <v>10</v>
      </c>
      <c r="L338" s="78">
        <v>0</v>
      </c>
      <c r="M338" s="78">
        <v>0</v>
      </c>
      <c r="N338" s="78">
        <v>0</v>
      </c>
      <c r="O338" s="78">
        <v>0</v>
      </c>
      <c r="P338" s="78">
        <v>9</v>
      </c>
      <c r="Q338" s="78">
        <v>0</v>
      </c>
      <c r="R338" s="78">
        <v>0</v>
      </c>
      <c r="S338" s="78">
        <v>9</v>
      </c>
      <c r="T338" s="78">
        <v>19</v>
      </c>
      <c r="U338" s="112">
        <v>1</v>
      </c>
      <c r="V338" s="112">
        <v>1</v>
      </c>
      <c r="W338" s="78" t="s">
        <v>405</v>
      </c>
    </row>
    <row r="339" spans="1:23" s="115" customFormat="1" ht="14.45" customHeight="1" x14ac:dyDescent="0.2">
      <c r="A339" s="78" t="s">
        <v>404</v>
      </c>
      <c r="B339" s="78" t="s">
        <v>486</v>
      </c>
      <c r="C339" s="78">
        <v>5</v>
      </c>
      <c r="D339" s="78">
        <v>0</v>
      </c>
      <c r="E339" s="78">
        <v>0</v>
      </c>
      <c r="F339" s="78">
        <v>0</v>
      </c>
      <c r="G339" s="78">
        <v>0</v>
      </c>
      <c r="H339" s="78">
        <v>0</v>
      </c>
      <c r="I339" s="78">
        <v>0</v>
      </c>
      <c r="J339" s="78">
        <v>0</v>
      </c>
      <c r="K339" s="78">
        <v>0</v>
      </c>
      <c r="L339" s="78">
        <v>0</v>
      </c>
      <c r="M339" s="78">
        <v>0</v>
      </c>
      <c r="N339" s="78">
        <v>0</v>
      </c>
      <c r="O339" s="78">
        <v>0</v>
      </c>
      <c r="P339" s="78">
        <v>5</v>
      </c>
      <c r="Q339" s="78">
        <v>0</v>
      </c>
      <c r="R339" s="78">
        <v>0</v>
      </c>
      <c r="S339" s="78">
        <v>5</v>
      </c>
      <c r="T339" s="78">
        <v>5</v>
      </c>
      <c r="U339" s="112">
        <v>1</v>
      </c>
      <c r="V339" s="112">
        <v>1</v>
      </c>
      <c r="W339" s="78" t="s">
        <v>405</v>
      </c>
    </row>
    <row r="340" spans="1:23" s="115" customFormat="1" ht="14.45" customHeight="1" x14ac:dyDescent="0.2">
      <c r="A340" s="78" t="s">
        <v>406</v>
      </c>
      <c r="B340" s="78" t="s">
        <v>487</v>
      </c>
      <c r="C340" s="78">
        <v>257396</v>
      </c>
      <c r="D340" s="78">
        <v>10129</v>
      </c>
      <c r="E340" s="78">
        <v>11123</v>
      </c>
      <c r="F340" s="78">
        <v>5710</v>
      </c>
      <c r="G340" s="78">
        <v>26962</v>
      </c>
      <c r="H340" s="78">
        <v>75195</v>
      </c>
      <c r="I340" s="78">
        <v>1154</v>
      </c>
      <c r="J340" s="78">
        <v>0</v>
      </c>
      <c r="K340" s="78">
        <v>103311</v>
      </c>
      <c r="L340" s="78">
        <v>10294</v>
      </c>
      <c r="M340" s="78">
        <v>11440</v>
      </c>
      <c r="N340" s="78">
        <v>6361</v>
      </c>
      <c r="O340" s="78">
        <v>28095</v>
      </c>
      <c r="P340" s="78">
        <v>124650</v>
      </c>
      <c r="Q340" s="78">
        <v>1340</v>
      </c>
      <c r="R340" s="78">
        <v>0</v>
      </c>
      <c r="S340" s="78">
        <v>154085</v>
      </c>
      <c r="T340" s="78">
        <v>257396</v>
      </c>
      <c r="U340" s="112">
        <v>1</v>
      </c>
      <c r="V340" s="112">
        <v>1</v>
      </c>
      <c r="W340" s="78" t="s">
        <v>200</v>
      </c>
    </row>
    <row r="341" spans="1:23" s="115" customFormat="1" ht="14.45" customHeight="1" x14ac:dyDescent="0.2">
      <c r="A341" s="78" t="s">
        <v>406</v>
      </c>
      <c r="B341" s="78" t="s">
        <v>489</v>
      </c>
      <c r="C341" s="78">
        <v>262411</v>
      </c>
      <c r="D341" s="78">
        <v>0</v>
      </c>
      <c r="E341" s="78">
        <v>10017</v>
      </c>
      <c r="F341" s="78">
        <v>14825</v>
      </c>
      <c r="G341" s="78">
        <v>24842</v>
      </c>
      <c r="H341" s="78">
        <v>95525</v>
      </c>
      <c r="I341" s="78">
        <v>16120</v>
      </c>
      <c r="J341" s="78">
        <v>0</v>
      </c>
      <c r="K341" s="78">
        <v>136487</v>
      </c>
      <c r="L341" s="78">
        <v>0</v>
      </c>
      <c r="M341" s="78">
        <v>10467</v>
      </c>
      <c r="N341" s="78">
        <v>15342</v>
      </c>
      <c r="O341" s="78">
        <v>25809</v>
      </c>
      <c r="P341" s="78">
        <v>84109</v>
      </c>
      <c r="Q341" s="78">
        <v>16006</v>
      </c>
      <c r="R341" s="78">
        <v>0</v>
      </c>
      <c r="S341" s="78">
        <v>125924</v>
      </c>
      <c r="T341" s="78">
        <v>262411</v>
      </c>
      <c r="U341" s="112">
        <v>1</v>
      </c>
      <c r="V341" s="112">
        <v>1</v>
      </c>
      <c r="W341" s="78" t="s">
        <v>200</v>
      </c>
    </row>
    <row r="342" spans="1:23" s="115" customFormat="1" ht="14.45" customHeight="1" x14ac:dyDescent="0.2">
      <c r="A342" s="78" t="s">
        <v>406</v>
      </c>
      <c r="B342" s="78" t="s">
        <v>488</v>
      </c>
      <c r="C342" s="78">
        <v>0</v>
      </c>
      <c r="D342" s="78">
        <v>0</v>
      </c>
      <c r="E342" s="78">
        <v>0</v>
      </c>
      <c r="F342" s="78">
        <v>0</v>
      </c>
      <c r="G342" s="78">
        <v>0</v>
      </c>
      <c r="H342" s="78">
        <v>0</v>
      </c>
      <c r="I342" s="78">
        <v>0</v>
      </c>
      <c r="J342" s="78">
        <v>0</v>
      </c>
      <c r="K342" s="78">
        <v>0</v>
      </c>
      <c r="L342" s="78">
        <v>0</v>
      </c>
      <c r="M342" s="78">
        <v>0</v>
      </c>
      <c r="N342" s="78">
        <v>0</v>
      </c>
      <c r="O342" s="78">
        <v>0</v>
      </c>
      <c r="P342" s="78">
        <v>0</v>
      </c>
      <c r="Q342" s="78">
        <v>0</v>
      </c>
      <c r="R342" s="78">
        <v>0</v>
      </c>
      <c r="S342" s="78">
        <v>0</v>
      </c>
      <c r="T342" s="78">
        <v>73753</v>
      </c>
      <c r="U342" s="112">
        <v>0</v>
      </c>
      <c r="V342" s="112">
        <v>0</v>
      </c>
      <c r="W342" s="78" t="s">
        <v>200</v>
      </c>
    </row>
    <row r="343" spans="1:23" s="115" customFormat="1" ht="14.45" customHeight="1" x14ac:dyDescent="0.2">
      <c r="A343" s="78" t="s">
        <v>406</v>
      </c>
      <c r="B343" s="78" t="s">
        <v>491</v>
      </c>
      <c r="C343" s="78">
        <v>0</v>
      </c>
      <c r="D343" s="78">
        <v>0</v>
      </c>
      <c r="E343" s="78">
        <v>0</v>
      </c>
      <c r="F343" s="78">
        <v>0</v>
      </c>
      <c r="G343" s="78">
        <v>0</v>
      </c>
      <c r="H343" s="78">
        <v>0</v>
      </c>
      <c r="I343" s="78">
        <v>0</v>
      </c>
      <c r="J343" s="78">
        <v>0</v>
      </c>
      <c r="K343" s="78">
        <v>0</v>
      </c>
      <c r="L343" s="78">
        <v>0</v>
      </c>
      <c r="M343" s="78">
        <v>0</v>
      </c>
      <c r="N343" s="78">
        <v>0</v>
      </c>
      <c r="O343" s="78">
        <v>0</v>
      </c>
      <c r="P343" s="78">
        <v>0</v>
      </c>
      <c r="Q343" s="78">
        <v>0</v>
      </c>
      <c r="R343" s="78">
        <v>0</v>
      </c>
      <c r="S343" s="78">
        <v>0</v>
      </c>
      <c r="T343" s="78">
        <v>69497</v>
      </c>
      <c r="U343" s="112">
        <v>0</v>
      </c>
      <c r="V343" s="112">
        <v>0</v>
      </c>
      <c r="W343" s="78" t="s">
        <v>200</v>
      </c>
    </row>
    <row r="344" spans="1:23" s="115" customFormat="1" ht="14.45" customHeight="1" x14ac:dyDescent="0.2">
      <c r="A344" s="78" t="s">
        <v>406</v>
      </c>
      <c r="B344" s="78" t="s">
        <v>486</v>
      </c>
      <c r="C344" s="78">
        <v>124784</v>
      </c>
      <c r="D344" s="78">
        <v>2917</v>
      </c>
      <c r="E344" s="78">
        <v>7616</v>
      </c>
      <c r="F344" s="78">
        <v>5318</v>
      </c>
      <c r="G344" s="78">
        <v>15851</v>
      </c>
      <c r="H344" s="78">
        <v>40136</v>
      </c>
      <c r="I344" s="78">
        <v>1629</v>
      </c>
      <c r="J344" s="78">
        <v>0</v>
      </c>
      <c r="K344" s="78">
        <v>57616</v>
      </c>
      <c r="L344" s="78">
        <v>3061</v>
      </c>
      <c r="M344" s="78">
        <v>7937</v>
      </c>
      <c r="N344" s="78">
        <v>5843</v>
      </c>
      <c r="O344" s="78">
        <v>16841</v>
      </c>
      <c r="P344" s="78">
        <v>48950</v>
      </c>
      <c r="Q344" s="78">
        <v>1377</v>
      </c>
      <c r="R344" s="78">
        <v>0</v>
      </c>
      <c r="S344" s="78">
        <v>67168</v>
      </c>
      <c r="T344" s="78">
        <v>124784</v>
      </c>
      <c r="U344" s="112">
        <v>1</v>
      </c>
      <c r="V344" s="112">
        <v>1</v>
      </c>
      <c r="W344" s="78" t="s">
        <v>200</v>
      </c>
    </row>
    <row r="345" spans="1:23" s="115" customFormat="1" ht="14.45" customHeight="1" x14ac:dyDescent="0.2">
      <c r="A345" s="78" t="s">
        <v>406</v>
      </c>
      <c r="B345" s="78" t="s">
        <v>490</v>
      </c>
      <c r="C345" s="78">
        <v>0</v>
      </c>
      <c r="D345" s="78">
        <v>0</v>
      </c>
      <c r="E345" s="78">
        <v>0</v>
      </c>
      <c r="F345" s="78">
        <v>0</v>
      </c>
      <c r="G345" s="78">
        <v>0</v>
      </c>
      <c r="H345" s="78">
        <v>0</v>
      </c>
      <c r="I345" s="78">
        <v>0</v>
      </c>
      <c r="J345" s="78">
        <v>0</v>
      </c>
      <c r="K345" s="78">
        <v>0</v>
      </c>
      <c r="L345" s="78">
        <v>0</v>
      </c>
      <c r="M345" s="78">
        <v>0</v>
      </c>
      <c r="N345" s="78">
        <v>0</v>
      </c>
      <c r="O345" s="78">
        <v>0</v>
      </c>
      <c r="P345" s="78">
        <v>0</v>
      </c>
      <c r="Q345" s="78">
        <v>0</v>
      </c>
      <c r="R345" s="78">
        <v>0</v>
      </c>
      <c r="S345" s="78">
        <v>0</v>
      </c>
      <c r="T345" s="78">
        <v>13</v>
      </c>
      <c r="U345" s="112">
        <v>0</v>
      </c>
      <c r="V345" s="112">
        <v>0</v>
      </c>
      <c r="W345" s="78" t="s">
        <v>200</v>
      </c>
    </row>
    <row r="346" spans="1:23" s="115" customFormat="1" ht="14.45" customHeight="1" x14ac:dyDescent="0.2">
      <c r="A346" s="78" t="s">
        <v>456</v>
      </c>
      <c r="B346" s="78" t="s">
        <v>486</v>
      </c>
      <c r="C346" s="78">
        <v>0</v>
      </c>
      <c r="D346" s="78">
        <v>0</v>
      </c>
      <c r="E346" s="78">
        <v>0</v>
      </c>
      <c r="F346" s="78">
        <v>0</v>
      </c>
      <c r="G346" s="78">
        <v>0</v>
      </c>
      <c r="H346" s="78">
        <v>0</v>
      </c>
      <c r="I346" s="78">
        <v>0</v>
      </c>
      <c r="J346" s="78">
        <v>0</v>
      </c>
      <c r="K346" s="78">
        <v>0</v>
      </c>
      <c r="L346" s="78">
        <v>0</v>
      </c>
      <c r="M346" s="78">
        <v>0</v>
      </c>
      <c r="N346" s="78">
        <v>0</v>
      </c>
      <c r="O346" s="78">
        <v>0</v>
      </c>
      <c r="P346" s="78">
        <v>0</v>
      </c>
      <c r="Q346" s="78">
        <v>0</v>
      </c>
      <c r="R346" s="78">
        <v>0</v>
      </c>
      <c r="S346" s="78">
        <v>0</v>
      </c>
      <c r="T346" s="78">
        <v>17</v>
      </c>
      <c r="U346" s="112">
        <v>0</v>
      </c>
      <c r="V346" s="112">
        <v>0</v>
      </c>
      <c r="W346" s="78" t="s">
        <v>201</v>
      </c>
    </row>
    <row r="347" spans="1:23" s="115" customFormat="1" ht="14.45" customHeight="1" x14ac:dyDescent="0.2">
      <c r="A347" s="78" t="s">
        <v>202</v>
      </c>
      <c r="B347" s="78" t="s">
        <v>491</v>
      </c>
      <c r="C347" s="78">
        <v>5</v>
      </c>
      <c r="D347" s="78">
        <v>0</v>
      </c>
      <c r="E347" s="78">
        <v>0</v>
      </c>
      <c r="F347" s="78">
        <v>5</v>
      </c>
      <c r="G347" s="78">
        <v>5</v>
      </c>
      <c r="H347" s="78">
        <v>0</v>
      </c>
      <c r="I347" s="78">
        <v>0</v>
      </c>
      <c r="J347" s="78">
        <v>0</v>
      </c>
      <c r="K347" s="78">
        <v>5</v>
      </c>
      <c r="L347" s="78">
        <v>0</v>
      </c>
      <c r="M347" s="78">
        <v>0</v>
      </c>
      <c r="N347" s="78">
        <v>0</v>
      </c>
      <c r="O347" s="78">
        <v>0</v>
      </c>
      <c r="P347" s="78">
        <v>0</v>
      </c>
      <c r="Q347" s="78">
        <v>0</v>
      </c>
      <c r="R347" s="78">
        <v>0</v>
      </c>
      <c r="S347" s="78">
        <v>0</v>
      </c>
      <c r="T347" s="78">
        <v>5</v>
      </c>
      <c r="U347" s="112">
        <v>1</v>
      </c>
      <c r="V347" s="112">
        <v>1</v>
      </c>
      <c r="W347" s="78" t="s">
        <v>203</v>
      </c>
    </row>
    <row r="348" spans="1:23" s="115" customFormat="1" ht="14.45" customHeight="1" x14ac:dyDescent="0.2">
      <c r="A348" s="78" t="s">
        <v>202</v>
      </c>
      <c r="B348" s="78" t="s">
        <v>486</v>
      </c>
      <c r="C348" s="78">
        <v>10</v>
      </c>
      <c r="D348" s="78">
        <v>0</v>
      </c>
      <c r="E348" s="78">
        <v>0</v>
      </c>
      <c r="F348" s="78">
        <v>0</v>
      </c>
      <c r="G348" s="78">
        <v>0</v>
      </c>
      <c r="H348" s="78">
        <v>0</v>
      </c>
      <c r="I348" s="78">
        <v>0</v>
      </c>
      <c r="J348" s="78">
        <v>0</v>
      </c>
      <c r="K348" s="78">
        <v>0</v>
      </c>
      <c r="L348" s="78">
        <v>0</v>
      </c>
      <c r="M348" s="78">
        <v>0</v>
      </c>
      <c r="N348" s="78">
        <v>0</v>
      </c>
      <c r="O348" s="78">
        <v>0</v>
      </c>
      <c r="P348" s="78">
        <v>10</v>
      </c>
      <c r="Q348" s="78">
        <v>0</v>
      </c>
      <c r="R348" s="78">
        <v>0</v>
      </c>
      <c r="S348" s="78">
        <v>10</v>
      </c>
      <c r="T348" s="78">
        <v>10</v>
      </c>
      <c r="U348" s="112">
        <v>1</v>
      </c>
      <c r="V348" s="112">
        <v>1</v>
      </c>
      <c r="W348" s="78" t="s">
        <v>203</v>
      </c>
    </row>
    <row r="349" spans="1:23" s="115" customFormat="1" ht="14.45" customHeight="1" x14ac:dyDescent="0.2">
      <c r="A349" s="78" t="s">
        <v>202</v>
      </c>
      <c r="B349" s="78" t="s">
        <v>490</v>
      </c>
      <c r="C349" s="78">
        <v>17</v>
      </c>
      <c r="D349" s="78">
        <v>0</v>
      </c>
      <c r="E349" s="78">
        <v>0</v>
      </c>
      <c r="F349" s="78">
        <v>0</v>
      </c>
      <c r="G349" s="78">
        <v>0</v>
      </c>
      <c r="H349" s="78">
        <v>0</v>
      </c>
      <c r="I349" s="78">
        <v>0</v>
      </c>
      <c r="J349" s="78">
        <v>5</v>
      </c>
      <c r="K349" s="78">
        <v>5</v>
      </c>
      <c r="L349" s="78">
        <v>0</v>
      </c>
      <c r="M349" s="78">
        <v>0</v>
      </c>
      <c r="N349" s="78">
        <v>0</v>
      </c>
      <c r="O349" s="78">
        <v>0</v>
      </c>
      <c r="P349" s="78">
        <v>0</v>
      </c>
      <c r="Q349" s="78">
        <v>0</v>
      </c>
      <c r="R349" s="78">
        <v>12</v>
      </c>
      <c r="S349" s="78">
        <v>12</v>
      </c>
      <c r="T349" s="78">
        <v>17</v>
      </c>
      <c r="U349" s="112">
        <v>0</v>
      </c>
      <c r="V349" s="112">
        <v>1</v>
      </c>
      <c r="W349" s="78" t="s">
        <v>203</v>
      </c>
    </row>
    <row r="350" spans="1:23" s="115" customFormat="1" ht="14.45" customHeight="1" x14ac:dyDescent="0.2">
      <c r="A350" s="78" t="s">
        <v>204</v>
      </c>
      <c r="B350" s="78" t="s">
        <v>487</v>
      </c>
      <c r="C350" s="78">
        <v>174</v>
      </c>
      <c r="D350" s="78">
        <v>13</v>
      </c>
      <c r="E350" s="78">
        <v>6</v>
      </c>
      <c r="F350" s="78">
        <v>6</v>
      </c>
      <c r="G350" s="78">
        <v>25</v>
      </c>
      <c r="H350" s="78">
        <v>33</v>
      </c>
      <c r="I350" s="78">
        <v>0</v>
      </c>
      <c r="J350" s="78">
        <v>0</v>
      </c>
      <c r="K350" s="78">
        <v>58</v>
      </c>
      <c r="L350" s="78">
        <v>0</v>
      </c>
      <c r="M350" s="78">
        <v>14</v>
      </c>
      <c r="N350" s="78">
        <v>6</v>
      </c>
      <c r="O350" s="78">
        <v>20</v>
      </c>
      <c r="P350" s="78">
        <v>96</v>
      </c>
      <c r="Q350" s="78">
        <v>0</v>
      </c>
      <c r="R350" s="78">
        <v>0</v>
      </c>
      <c r="S350" s="78">
        <v>116</v>
      </c>
      <c r="T350" s="78">
        <v>174</v>
      </c>
      <c r="U350" s="112">
        <v>1</v>
      </c>
      <c r="V350" s="112">
        <v>1</v>
      </c>
      <c r="W350" s="78" t="s">
        <v>205</v>
      </c>
    </row>
    <row r="351" spans="1:23" s="115" customFormat="1" ht="14.45" customHeight="1" x14ac:dyDescent="0.2">
      <c r="A351" s="78" t="s">
        <v>204</v>
      </c>
      <c r="B351" s="78" t="s">
        <v>491</v>
      </c>
      <c r="C351" s="78">
        <v>213</v>
      </c>
      <c r="D351" s="78">
        <v>0</v>
      </c>
      <c r="E351" s="78">
        <v>0</v>
      </c>
      <c r="F351" s="78">
        <v>0</v>
      </c>
      <c r="G351" s="78">
        <v>0</v>
      </c>
      <c r="H351" s="78">
        <v>7</v>
      </c>
      <c r="I351" s="78">
        <v>0</v>
      </c>
      <c r="J351" s="78">
        <v>100</v>
      </c>
      <c r="K351" s="78">
        <v>107</v>
      </c>
      <c r="L351" s="78">
        <v>0</v>
      </c>
      <c r="M351" s="78">
        <v>0</v>
      </c>
      <c r="N351" s="78">
        <v>0</v>
      </c>
      <c r="O351" s="78">
        <v>0</v>
      </c>
      <c r="P351" s="78">
        <v>6</v>
      </c>
      <c r="Q351" s="78">
        <v>0</v>
      </c>
      <c r="R351" s="78">
        <v>100</v>
      </c>
      <c r="S351" s="78">
        <v>106</v>
      </c>
      <c r="T351" s="78">
        <v>213</v>
      </c>
      <c r="U351" s="112">
        <v>6.1032863849765299E-2</v>
      </c>
      <c r="V351" s="112">
        <v>1</v>
      </c>
      <c r="W351" s="78" t="s">
        <v>205</v>
      </c>
    </row>
    <row r="352" spans="1:23" s="115" customFormat="1" ht="14.45" customHeight="1" x14ac:dyDescent="0.2">
      <c r="A352" s="78" t="s">
        <v>204</v>
      </c>
      <c r="B352" s="78" t="s">
        <v>486</v>
      </c>
      <c r="C352" s="78">
        <v>6648</v>
      </c>
      <c r="D352" s="78">
        <v>0</v>
      </c>
      <c r="E352" s="78">
        <v>19</v>
      </c>
      <c r="F352" s="78">
        <v>7</v>
      </c>
      <c r="G352" s="78">
        <v>26</v>
      </c>
      <c r="H352" s="78">
        <v>80</v>
      </c>
      <c r="I352" s="78">
        <v>0</v>
      </c>
      <c r="J352" s="78">
        <v>3425</v>
      </c>
      <c r="K352" s="78">
        <v>3531</v>
      </c>
      <c r="L352" s="78">
        <v>0</v>
      </c>
      <c r="M352" s="78">
        <v>5</v>
      </c>
      <c r="N352" s="78">
        <v>22</v>
      </c>
      <c r="O352" s="78">
        <v>27</v>
      </c>
      <c r="P352" s="78">
        <v>59</v>
      </c>
      <c r="Q352" s="78">
        <v>0</v>
      </c>
      <c r="R352" s="78">
        <v>3031</v>
      </c>
      <c r="S352" s="78">
        <v>3117</v>
      </c>
      <c r="T352" s="78">
        <v>64733</v>
      </c>
      <c r="U352" s="112">
        <v>2.9660296911930501E-3</v>
      </c>
      <c r="V352" s="112">
        <v>0.10269877805756</v>
      </c>
      <c r="W352" s="78" t="s">
        <v>205</v>
      </c>
    </row>
    <row r="353" spans="1:23" s="115" customFormat="1" ht="14.45" customHeight="1" x14ac:dyDescent="0.2">
      <c r="A353" s="78" t="s">
        <v>204</v>
      </c>
      <c r="B353" s="78" t="s">
        <v>490</v>
      </c>
      <c r="C353" s="78">
        <v>416</v>
      </c>
      <c r="D353" s="78">
        <v>16</v>
      </c>
      <c r="E353" s="78">
        <v>53</v>
      </c>
      <c r="F353" s="78">
        <v>47</v>
      </c>
      <c r="G353" s="78">
        <v>116</v>
      </c>
      <c r="H353" s="78">
        <v>92</v>
      </c>
      <c r="I353" s="78">
        <v>0</v>
      </c>
      <c r="J353" s="78">
        <v>0</v>
      </c>
      <c r="K353" s="78">
        <v>208</v>
      </c>
      <c r="L353" s="78">
        <v>17</v>
      </c>
      <c r="M353" s="78">
        <v>57</v>
      </c>
      <c r="N353" s="78">
        <v>49</v>
      </c>
      <c r="O353" s="78">
        <v>123</v>
      </c>
      <c r="P353" s="78">
        <v>80</v>
      </c>
      <c r="Q353" s="78">
        <v>5</v>
      </c>
      <c r="R353" s="78">
        <v>0</v>
      </c>
      <c r="S353" s="78">
        <v>208</v>
      </c>
      <c r="T353" s="78">
        <v>416</v>
      </c>
      <c r="U353" s="112">
        <v>1</v>
      </c>
      <c r="V353" s="112">
        <v>1</v>
      </c>
      <c r="W353" s="78" t="s">
        <v>205</v>
      </c>
    </row>
    <row r="354" spans="1:23" s="115" customFormat="1" ht="14.45" customHeight="1" x14ac:dyDescent="0.2">
      <c r="A354" s="78" t="s">
        <v>206</v>
      </c>
      <c r="B354" s="78" t="s">
        <v>487</v>
      </c>
      <c r="C354" s="78">
        <v>11340</v>
      </c>
      <c r="D354" s="78">
        <v>366</v>
      </c>
      <c r="E354" s="78">
        <v>248</v>
      </c>
      <c r="F354" s="78">
        <v>123</v>
      </c>
      <c r="G354" s="78">
        <v>737</v>
      </c>
      <c r="H354" s="78">
        <v>1459</v>
      </c>
      <c r="I354" s="78">
        <v>5</v>
      </c>
      <c r="J354" s="78">
        <v>0</v>
      </c>
      <c r="K354" s="78">
        <v>2201</v>
      </c>
      <c r="L354" s="78">
        <v>388</v>
      </c>
      <c r="M354" s="78">
        <v>206</v>
      </c>
      <c r="N354" s="78">
        <v>1008</v>
      </c>
      <c r="O354" s="78">
        <v>1602</v>
      </c>
      <c r="P354" s="78">
        <v>7523</v>
      </c>
      <c r="Q354" s="78">
        <v>14</v>
      </c>
      <c r="R354" s="78">
        <v>0</v>
      </c>
      <c r="S354" s="78">
        <v>9139</v>
      </c>
      <c r="T354" s="78">
        <v>11340</v>
      </c>
      <c r="U354" s="112">
        <v>1</v>
      </c>
      <c r="V354" s="112">
        <v>1</v>
      </c>
      <c r="W354" s="78" t="s">
        <v>207</v>
      </c>
    </row>
    <row r="355" spans="1:23" s="115" customFormat="1" ht="14.45" customHeight="1" x14ac:dyDescent="0.2">
      <c r="A355" s="78" t="s">
        <v>206</v>
      </c>
      <c r="B355" s="78" t="s">
        <v>486</v>
      </c>
      <c r="C355" s="78">
        <v>8295</v>
      </c>
      <c r="D355" s="78">
        <v>377</v>
      </c>
      <c r="E355" s="78">
        <v>599</v>
      </c>
      <c r="F355" s="78">
        <v>368</v>
      </c>
      <c r="G355" s="78">
        <v>1344</v>
      </c>
      <c r="H355" s="78">
        <v>1767</v>
      </c>
      <c r="I355" s="78">
        <v>102</v>
      </c>
      <c r="J355" s="78">
        <v>0</v>
      </c>
      <c r="K355" s="78">
        <v>3213</v>
      </c>
      <c r="L355" s="78">
        <v>419</v>
      </c>
      <c r="M355" s="78">
        <v>612</v>
      </c>
      <c r="N355" s="78">
        <v>474</v>
      </c>
      <c r="O355" s="78">
        <v>1505</v>
      </c>
      <c r="P355" s="78">
        <v>3410</v>
      </c>
      <c r="Q355" s="78">
        <v>167</v>
      </c>
      <c r="R355" s="78">
        <v>0</v>
      </c>
      <c r="S355" s="78">
        <v>5082</v>
      </c>
      <c r="T355" s="78">
        <v>8295</v>
      </c>
      <c r="U355" s="112">
        <v>1</v>
      </c>
      <c r="V355" s="112">
        <v>1</v>
      </c>
      <c r="W355" s="78" t="s">
        <v>207</v>
      </c>
    </row>
    <row r="356" spans="1:23" s="115" customFormat="1" ht="14.45" customHeight="1" x14ac:dyDescent="0.2">
      <c r="A356" s="78" t="s">
        <v>208</v>
      </c>
      <c r="B356" s="78" t="s">
        <v>487</v>
      </c>
      <c r="C356" s="78">
        <v>18438</v>
      </c>
      <c r="D356" s="78">
        <v>97</v>
      </c>
      <c r="E356" s="78">
        <v>1145</v>
      </c>
      <c r="F356" s="78">
        <v>728</v>
      </c>
      <c r="G356" s="78">
        <v>1970</v>
      </c>
      <c r="H356" s="78">
        <v>4559</v>
      </c>
      <c r="I356" s="78">
        <v>132</v>
      </c>
      <c r="J356" s="78">
        <v>0</v>
      </c>
      <c r="K356" s="78">
        <v>6661</v>
      </c>
      <c r="L356" s="78">
        <v>106</v>
      </c>
      <c r="M356" s="78">
        <v>1192</v>
      </c>
      <c r="N356" s="78">
        <v>773</v>
      </c>
      <c r="O356" s="78">
        <v>2071</v>
      </c>
      <c r="P356" s="78">
        <v>9546</v>
      </c>
      <c r="Q356" s="78">
        <v>160</v>
      </c>
      <c r="R356" s="78">
        <v>0</v>
      </c>
      <c r="S356" s="78">
        <v>11777</v>
      </c>
      <c r="T356" s="78">
        <v>18438</v>
      </c>
      <c r="U356" s="112">
        <v>1</v>
      </c>
      <c r="V356" s="112">
        <v>1</v>
      </c>
      <c r="W356" s="78" t="s">
        <v>209</v>
      </c>
    </row>
    <row r="357" spans="1:23" s="115" customFormat="1" ht="14.45" customHeight="1" x14ac:dyDescent="0.2">
      <c r="A357" s="78" t="s">
        <v>208</v>
      </c>
      <c r="B357" s="78" t="s">
        <v>493</v>
      </c>
      <c r="C357" s="78">
        <v>280988</v>
      </c>
      <c r="D357" s="78">
        <v>22760</v>
      </c>
      <c r="E357" s="78">
        <v>14332</v>
      </c>
      <c r="F357" s="78">
        <v>22760</v>
      </c>
      <c r="G357" s="78">
        <v>59852</v>
      </c>
      <c r="H357" s="78">
        <v>70529</v>
      </c>
      <c r="I357" s="78">
        <v>17140</v>
      </c>
      <c r="J357" s="78">
        <v>0</v>
      </c>
      <c r="K357" s="78">
        <v>147521</v>
      </c>
      <c r="L357" s="78">
        <v>28381</v>
      </c>
      <c r="M357" s="78">
        <v>19949</v>
      </c>
      <c r="N357" s="78">
        <v>19949</v>
      </c>
      <c r="O357" s="78">
        <v>68279</v>
      </c>
      <c r="P357" s="78">
        <v>53669</v>
      </c>
      <c r="Q357" s="78">
        <v>11519</v>
      </c>
      <c r="R357" s="78">
        <v>0</v>
      </c>
      <c r="S357" s="78">
        <v>133467</v>
      </c>
      <c r="T357" s="78">
        <v>280988</v>
      </c>
      <c r="U357" s="112">
        <v>1</v>
      </c>
      <c r="V357" s="112">
        <v>1</v>
      </c>
      <c r="W357" s="78" t="s">
        <v>209</v>
      </c>
    </row>
    <row r="358" spans="1:23" s="115" customFormat="1" ht="14.45" customHeight="1" x14ac:dyDescent="0.2">
      <c r="A358" s="78" t="s">
        <v>208</v>
      </c>
      <c r="B358" s="78" t="s">
        <v>489</v>
      </c>
      <c r="C358" s="78">
        <v>582764</v>
      </c>
      <c r="D358" s="78">
        <v>57090</v>
      </c>
      <c r="E358" s="78">
        <v>52603</v>
      </c>
      <c r="F358" s="78">
        <v>43421</v>
      </c>
      <c r="G358" s="78">
        <v>153114</v>
      </c>
      <c r="H358" s="78">
        <v>140153</v>
      </c>
      <c r="I358" s="78">
        <v>28716</v>
      </c>
      <c r="J358" s="78">
        <v>0</v>
      </c>
      <c r="K358" s="78">
        <v>321983</v>
      </c>
      <c r="L358" s="78">
        <v>48467</v>
      </c>
      <c r="M358" s="78">
        <v>55133</v>
      </c>
      <c r="N358" s="78">
        <v>39060</v>
      </c>
      <c r="O358" s="78">
        <v>142660</v>
      </c>
      <c r="P358" s="78">
        <v>101590</v>
      </c>
      <c r="Q358" s="78">
        <v>16531</v>
      </c>
      <c r="R358" s="78">
        <v>0</v>
      </c>
      <c r="S358" s="78">
        <v>260781</v>
      </c>
      <c r="T358" s="78">
        <v>582764</v>
      </c>
      <c r="U358" s="112">
        <v>1</v>
      </c>
      <c r="V358" s="112">
        <v>1</v>
      </c>
      <c r="W358" s="78" t="s">
        <v>209</v>
      </c>
    </row>
    <row r="359" spans="1:23" s="115" customFormat="1" ht="14.45" customHeight="1" x14ac:dyDescent="0.2">
      <c r="A359" s="78" t="s">
        <v>208</v>
      </c>
      <c r="B359" s="78" t="s">
        <v>491</v>
      </c>
      <c r="C359" s="78">
        <v>1323</v>
      </c>
      <c r="D359" s="78">
        <v>260</v>
      </c>
      <c r="E359" s="78">
        <v>242</v>
      </c>
      <c r="F359" s="78">
        <v>111</v>
      </c>
      <c r="G359" s="78">
        <v>613</v>
      </c>
      <c r="H359" s="78">
        <v>72</v>
      </c>
      <c r="I359" s="78">
        <v>0</v>
      </c>
      <c r="J359" s="78">
        <v>0</v>
      </c>
      <c r="K359" s="78">
        <v>685</v>
      </c>
      <c r="L359" s="78">
        <v>258</v>
      </c>
      <c r="M359" s="78">
        <v>223</v>
      </c>
      <c r="N359" s="78">
        <v>98</v>
      </c>
      <c r="O359" s="78">
        <v>579</v>
      </c>
      <c r="P359" s="78">
        <v>59</v>
      </c>
      <c r="Q359" s="78">
        <v>0</v>
      </c>
      <c r="R359" s="78">
        <v>0</v>
      </c>
      <c r="S359" s="78">
        <v>638</v>
      </c>
      <c r="T359" s="78">
        <v>1323</v>
      </c>
      <c r="U359" s="112">
        <v>1</v>
      </c>
      <c r="V359" s="112">
        <v>1</v>
      </c>
      <c r="W359" s="78" t="s">
        <v>209</v>
      </c>
    </row>
    <row r="360" spans="1:23" s="115" customFormat="1" ht="14.45" customHeight="1" x14ac:dyDescent="0.2">
      <c r="A360" s="78" t="s">
        <v>208</v>
      </c>
      <c r="B360" s="78" t="s">
        <v>486</v>
      </c>
      <c r="C360" s="78">
        <v>5152</v>
      </c>
      <c r="D360" s="78">
        <v>57</v>
      </c>
      <c r="E360" s="78">
        <v>405</v>
      </c>
      <c r="F360" s="78">
        <v>378</v>
      </c>
      <c r="G360" s="78">
        <v>840</v>
      </c>
      <c r="H360" s="78">
        <v>1459</v>
      </c>
      <c r="I360" s="78">
        <v>83</v>
      </c>
      <c r="J360" s="78">
        <v>0</v>
      </c>
      <c r="K360" s="78">
        <v>2382</v>
      </c>
      <c r="L360" s="78">
        <v>46</v>
      </c>
      <c r="M360" s="78">
        <v>438</v>
      </c>
      <c r="N360" s="78">
        <v>324</v>
      </c>
      <c r="O360" s="78">
        <v>808</v>
      </c>
      <c r="P360" s="78">
        <v>1858</v>
      </c>
      <c r="Q360" s="78">
        <v>104</v>
      </c>
      <c r="R360" s="78">
        <v>0</v>
      </c>
      <c r="S360" s="78">
        <v>2770</v>
      </c>
      <c r="T360" s="78">
        <v>5152</v>
      </c>
      <c r="U360" s="112">
        <v>1</v>
      </c>
      <c r="V360" s="112">
        <v>1</v>
      </c>
      <c r="W360" s="78" t="s">
        <v>209</v>
      </c>
    </row>
    <row r="361" spans="1:23" s="115" customFormat="1" ht="14.45" customHeight="1" x14ac:dyDescent="0.2">
      <c r="A361" s="78" t="s">
        <v>407</v>
      </c>
      <c r="B361" s="78" t="s">
        <v>493</v>
      </c>
      <c r="C361" s="78">
        <v>276612</v>
      </c>
      <c r="D361" s="78">
        <v>11065</v>
      </c>
      <c r="E361" s="78">
        <v>19363</v>
      </c>
      <c r="F361" s="78">
        <v>19363</v>
      </c>
      <c r="G361" s="78">
        <v>49791</v>
      </c>
      <c r="H361" s="78">
        <v>80215</v>
      </c>
      <c r="I361" s="78">
        <v>13831</v>
      </c>
      <c r="J361" s="78">
        <v>0</v>
      </c>
      <c r="K361" s="78">
        <v>143837</v>
      </c>
      <c r="L361" s="78">
        <v>11065</v>
      </c>
      <c r="M361" s="78">
        <v>22130</v>
      </c>
      <c r="N361" s="78">
        <v>19363</v>
      </c>
      <c r="O361" s="78">
        <v>52558</v>
      </c>
      <c r="P361" s="78">
        <v>71919</v>
      </c>
      <c r="Q361" s="78">
        <v>8298</v>
      </c>
      <c r="R361" s="78">
        <v>0</v>
      </c>
      <c r="S361" s="78">
        <v>132775</v>
      </c>
      <c r="T361" s="78">
        <v>276612</v>
      </c>
      <c r="U361" s="112">
        <v>1</v>
      </c>
      <c r="V361" s="112">
        <v>1</v>
      </c>
      <c r="W361" s="78" t="s">
        <v>210</v>
      </c>
    </row>
    <row r="362" spans="1:23" s="115" customFormat="1" ht="14.45" customHeight="1" x14ac:dyDescent="0.2">
      <c r="A362" s="78" t="s">
        <v>407</v>
      </c>
      <c r="B362" s="78" t="s">
        <v>489</v>
      </c>
      <c r="C362" s="78">
        <v>2607645</v>
      </c>
      <c r="D362" s="78">
        <v>104307</v>
      </c>
      <c r="E362" s="78">
        <v>182536</v>
      </c>
      <c r="F362" s="78">
        <v>182540</v>
      </c>
      <c r="G362" s="78">
        <v>469383</v>
      </c>
      <c r="H362" s="78">
        <v>756211</v>
      </c>
      <c r="I362" s="78">
        <v>130382</v>
      </c>
      <c r="J362" s="78">
        <v>0</v>
      </c>
      <c r="K362" s="78">
        <v>1355976</v>
      </c>
      <c r="L362" s="78">
        <v>104306</v>
      </c>
      <c r="M362" s="78">
        <v>208609</v>
      </c>
      <c r="N362" s="78">
        <v>182535</v>
      </c>
      <c r="O362" s="78">
        <v>495450</v>
      </c>
      <c r="P362" s="78">
        <v>677988</v>
      </c>
      <c r="Q362" s="78">
        <v>78231</v>
      </c>
      <c r="R362" s="78">
        <v>0</v>
      </c>
      <c r="S362" s="78">
        <v>1251669</v>
      </c>
      <c r="T362" s="78">
        <v>2607645</v>
      </c>
      <c r="U362" s="112">
        <v>1</v>
      </c>
      <c r="V362" s="112">
        <v>1</v>
      </c>
      <c r="W362" s="78" t="s">
        <v>210</v>
      </c>
    </row>
    <row r="363" spans="1:23" s="115" customFormat="1" ht="14.45" customHeight="1" x14ac:dyDescent="0.2">
      <c r="A363" s="78" t="s">
        <v>407</v>
      </c>
      <c r="B363" s="78" t="s">
        <v>492</v>
      </c>
      <c r="C363" s="78">
        <v>0</v>
      </c>
      <c r="D363" s="78">
        <v>0</v>
      </c>
      <c r="E363" s="78">
        <v>0</v>
      </c>
      <c r="F363" s="78">
        <v>0</v>
      </c>
      <c r="G363" s="78">
        <v>0</v>
      </c>
      <c r="H363" s="78">
        <v>0</v>
      </c>
      <c r="I363" s="78">
        <v>0</v>
      </c>
      <c r="J363" s="78">
        <v>0</v>
      </c>
      <c r="K363" s="78">
        <v>0</v>
      </c>
      <c r="L363" s="78">
        <v>0</v>
      </c>
      <c r="M363" s="78">
        <v>0</v>
      </c>
      <c r="N363" s="78">
        <v>0</v>
      </c>
      <c r="O363" s="78">
        <v>0</v>
      </c>
      <c r="P363" s="78">
        <v>0</v>
      </c>
      <c r="Q363" s="78">
        <v>0</v>
      </c>
      <c r="R363" s="78">
        <v>0</v>
      </c>
      <c r="S363" s="78">
        <v>0</v>
      </c>
      <c r="T363" s="78">
        <v>10</v>
      </c>
      <c r="U363" s="112">
        <v>0</v>
      </c>
      <c r="V363" s="112">
        <v>0</v>
      </c>
      <c r="W363" s="78" t="s">
        <v>210</v>
      </c>
    </row>
    <row r="364" spans="1:23" s="115" customFormat="1" ht="14.45" customHeight="1" x14ac:dyDescent="0.2">
      <c r="A364" s="78" t="s">
        <v>407</v>
      </c>
      <c r="B364" s="78" t="s">
        <v>490</v>
      </c>
      <c r="C364" s="78">
        <v>477278</v>
      </c>
      <c r="D364" s="78">
        <v>19093</v>
      </c>
      <c r="E364" s="78">
        <v>33409</v>
      </c>
      <c r="F364" s="78">
        <v>33409</v>
      </c>
      <c r="G364" s="78">
        <v>85911</v>
      </c>
      <c r="H364" s="78">
        <v>138411</v>
      </c>
      <c r="I364" s="78">
        <v>23864</v>
      </c>
      <c r="J364" s="78">
        <v>0</v>
      </c>
      <c r="K364" s="78">
        <v>248186</v>
      </c>
      <c r="L364" s="78">
        <v>19091</v>
      </c>
      <c r="M364" s="78">
        <v>38182</v>
      </c>
      <c r="N364" s="78">
        <v>33409</v>
      </c>
      <c r="O364" s="78">
        <v>90682</v>
      </c>
      <c r="P364" s="78">
        <v>124092</v>
      </c>
      <c r="Q364" s="78">
        <v>14318</v>
      </c>
      <c r="R364" s="78">
        <v>0</v>
      </c>
      <c r="S364" s="78">
        <v>229092</v>
      </c>
      <c r="T364" s="78">
        <v>477278</v>
      </c>
      <c r="U364" s="112">
        <v>1</v>
      </c>
      <c r="V364" s="112">
        <v>1</v>
      </c>
      <c r="W364" s="78" t="s">
        <v>210</v>
      </c>
    </row>
    <row r="365" spans="1:23" s="115" customFormat="1" ht="14.45" customHeight="1" x14ac:dyDescent="0.2">
      <c r="A365" s="78" t="s">
        <v>211</v>
      </c>
      <c r="B365" s="78" t="s">
        <v>487</v>
      </c>
      <c r="C365" s="78">
        <v>1978</v>
      </c>
      <c r="D365" s="78">
        <v>94</v>
      </c>
      <c r="E365" s="78">
        <v>182</v>
      </c>
      <c r="F365" s="78">
        <v>129</v>
      </c>
      <c r="G365" s="78">
        <v>405</v>
      </c>
      <c r="H365" s="78">
        <v>411</v>
      </c>
      <c r="I365" s="78">
        <v>13</v>
      </c>
      <c r="J365" s="78">
        <v>0</v>
      </c>
      <c r="K365" s="78">
        <v>829</v>
      </c>
      <c r="L365" s="78">
        <v>115</v>
      </c>
      <c r="M365" s="78">
        <v>183</v>
      </c>
      <c r="N365" s="78">
        <v>127</v>
      </c>
      <c r="O365" s="78">
        <v>425</v>
      </c>
      <c r="P365" s="78">
        <v>711</v>
      </c>
      <c r="Q365" s="78">
        <v>13</v>
      </c>
      <c r="R365" s="78">
        <v>0</v>
      </c>
      <c r="S365" s="78">
        <v>1149</v>
      </c>
      <c r="T365" s="78">
        <v>1978</v>
      </c>
      <c r="U365" s="112">
        <v>1</v>
      </c>
      <c r="V365" s="112">
        <v>1</v>
      </c>
      <c r="W365" s="78" t="s">
        <v>212</v>
      </c>
    </row>
    <row r="366" spans="1:23" s="115" customFormat="1" ht="14.45" customHeight="1" x14ac:dyDescent="0.2">
      <c r="A366" s="78" t="s">
        <v>211</v>
      </c>
      <c r="B366" s="78" t="s">
        <v>491</v>
      </c>
      <c r="C366" s="78">
        <v>77</v>
      </c>
      <c r="D366" s="78">
        <v>0</v>
      </c>
      <c r="E366" s="78">
        <v>7</v>
      </c>
      <c r="F366" s="78">
        <v>8</v>
      </c>
      <c r="G366" s="78">
        <v>15</v>
      </c>
      <c r="H366" s="78">
        <v>31</v>
      </c>
      <c r="I366" s="78">
        <v>0</v>
      </c>
      <c r="J366" s="78">
        <v>0</v>
      </c>
      <c r="K366" s="78">
        <v>46</v>
      </c>
      <c r="L366" s="78">
        <v>0</v>
      </c>
      <c r="M366" s="78">
        <v>15</v>
      </c>
      <c r="N366" s="78">
        <v>5</v>
      </c>
      <c r="O366" s="78">
        <v>20</v>
      </c>
      <c r="P366" s="78">
        <v>11</v>
      </c>
      <c r="Q366" s="78">
        <v>0</v>
      </c>
      <c r="R366" s="78">
        <v>0</v>
      </c>
      <c r="S366" s="78">
        <v>31</v>
      </c>
      <c r="T366" s="78">
        <v>77</v>
      </c>
      <c r="U366" s="112">
        <v>1</v>
      </c>
      <c r="V366" s="112">
        <v>1</v>
      </c>
      <c r="W366" s="78" t="s">
        <v>212</v>
      </c>
    </row>
    <row r="367" spans="1:23" s="115" customFormat="1" ht="14.45" customHeight="1" x14ac:dyDescent="0.2">
      <c r="A367" s="78" t="s">
        <v>211</v>
      </c>
      <c r="B367" s="78" t="s">
        <v>486</v>
      </c>
      <c r="C367" s="78">
        <v>5157</v>
      </c>
      <c r="D367" s="78">
        <v>383</v>
      </c>
      <c r="E367" s="78">
        <v>515</v>
      </c>
      <c r="F367" s="78">
        <v>353</v>
      </c>
      <c r="G367" s="78">
        <v>1251</v>
      </c>
      <c r="H367" s="78">
        <v>1110</v>
      </c>
      <c r="I367" s="78">
        <v>38</v>
      </c>
      <c r="J367" s="78">
        <v>0</v>
      </c>
      <c r="K367" s="78">
        <v>2399</v>
      </c>
      <c r="L367" s="78">
        <v>398</v>
      </c>
      <c r="M367" s="78">
        <v>495</v>
      </c>
      <c r="N367" s="78">
        <v>360</v>
      </c>
      <c r="O367" s="78">
        <v>1253</v>
      </c>
      <c r="P367" s="78">
        <v>1464</v>
      </c>
      <c r="Q367" s="78">
        <v>41</v>
      </c>
      <c r="R367" s="78">
        <v>0</v>
      </c>
      <c r="S367" s="78">
        <v>2758</v>
      </c>
      <c r="T367" s="78">
        <v>5157</v>
      </c>
      <c r="U367" s="112">
        <v>1</v>
      </c>
      <c r="V367" s="112">
        <v>1</v>
      </c>
      <c r="W367" s="78" t="s">
        <v>212</v>
      </c>
    </row>
    <row r="368" spans="1:23" s="115" customFormat="1" ht="14.45" customHeight="1" x14ac:dyDescent="0.2">
      <c r="A368" s="78" t="s">
        <v>213</v>
      </c>
      <c r="B368" s="78" t="s">
        <v>487</v>
      </c>
      <c r="C368" s="78">
        <v>13</v>
      </c>
      <c r="D368" s="78">
        <v>0</v>
      </c>
      <c r="E368" s="78">
        <v>0</v>
      </c>
      <c r="F368" s="78">
        <v>0</v>
      </c>
      <c r="G368" s="78">
        <v>0</v>
      </c>
      <c r="H368" s="78">
        <v>0</v>
      </c>
      <c r="I368" s="78">
        <v>0</v>
      </c>
      <c r="J368" s="78">
        <v>0</v>
      </c>
      <c r="K368" s="78">
        <v>0</v>
      </c>
      <c r="L368" s="78">
        <v>0</v>
      </c>
      <c r="M368" s="78">
        <v>0</v>
      </c>
      <c r="N368" s="78">
        <v>0</v>
      </c>
      <c r="O368" s="78">
        <v>0</v>
      </c>
      <c r="P368" s="78">
        <v>13</v>
      </c>
      <c r="Q368" s="78">
        <v>0</v>
      </c>
      <c r="R368" s="78">
        <v>0</v>
      </c>
      <c r="S368" s="78">
        <v>13</v>
      </c>
      <c r="T368" s="78">
        <v>13</v>
      </c>
      <c r="U368" s="112">
        <v>1</v>
      </c>
      <c r="V368" s="112">
        <v>1</v>
      </c>
      <c r="W368" s="78" t="s">
        <v>214</v>
      </c>
    </row>
    <row r="369" spans="1:23" s="115" customFormat="1" ht="14.45" customHeight="1" x14ac:dyDescent="0.2">
      <c r="A369" s="78" t="s">
        <v>408</v>
      </c>
      <c r="B369" s="78" t="s">
        <v>487</v>
      </c>
      <c r="C369" s="78">
        <v>300</v>
      </c>
      <c r="D369" s="78">
        <v>13</v>
      </c>
      <c r="E369" s="78">
        <v>33</v>
      </c>
      <c r="F369" s="78">
        <v>10</v>
      </c>
      <c r="G369" s="78">
        <v>56</v>
      </c>
      <c r="H369" s="78">
        <v>69</v>
      </c>
      <c r="I369" s="78">
        <v>0</v>
      </c>
      <c r="J369" s="78">
        <v>0</v>
      </c>
      <c r="K369" s="78">
        <v>125</v>
      </c>
      <c r="L369" s="78">
        <v>23</v>
      </c>
      <c r="M369" s="78">
        <v>26</v>
      </c>
      <c r="N369" s="78">
        <v>24</v>
      </c>
      <c r="O369" s="78">
        <v>73</v>
      </c>
      <c r="P369" s="78">
        <v>97</v>
      </c>
      <c r="Q369" s="78">
        <v>5</v>
      </c>
      <c r="R369" s="78">
        <v>0</v>
      </c>
      <c r="S369" s="78">
        <v>175</v>
      </c>
      <c r="T369" s="78">
        <v>300</v>
      </c>
      <c r="U369" s="112">
        <v>1</v>
      </c>
      <c r="V369" s="112">
        <v>1</v>
      </c>
      <c r="W369" s="78" t="s">
        <v>215</v>
      </c>
    </row>
    <row r="370" spans="1:23" s="115" customFormat="1" ht="14.45" customHeight="1" x14ac:dyDescent="0.2">
      <c r="A370" s="78" t="s">
        <v>408</v>
      </c>
      <c r="B370" s="78" t="s">
        <v>491</v>
      </c>
      <c r="C370" s="78">
        <v>567</v>
      </c>
      <c r="D370" s="78">
        <v>0</v>
      </c>
      <c r="E370" s="78">
        <v>0</v>
      </c>
      <c r="F370" s="78">
        <v>0</v>
      </c>
      <c r="G370" s="78">
        <v>0</v>
      </c>
      <c r="H370" s="78">
        <v>5</v>
      </c>
      <c r="I370" s="78">
        <v>0</v>
      </c>
      <c r="J370" s="78">
        <v>553</v>
      </c>
      <c r="K370" s="78">
        <v>558</v>
      </c>
      <c r="L370" s="78">
        <v>0</v>
      </c>
      <c r="M370" s="78">
        <v>0</v>
      </c>
      <c r="N370" s="78">
        <v>0</v>
      </c>
      <c r="O370" s="78">
        <v>0</v>
      </c>
      <c r="P370" s="78">
        <v>9</v>
      </c>
      <c r="Q370" s="78">
        <v>0</v>
      </c>
      <c r="R370" s="78">
        <v>0</v>
      </c>
      <c r="S370" s="78">
        <v>9</v>
      </c>
      <c r="T370" s="78">
        <v>567</v>
      </c>
      <c r="U370" s="112">
        <v>2.4691358024691398E-2</v>
      </c>
      <c r="V370" s="112">
        <v>1</v>
      </c>
      <c r="W370" s="78" t="s">
        <v>215</v>
      </c>
    </row>
    <row r="371" spans="1:23" s="115" customFormat="1" ht="14.45" customHeight="1" x14ac:dyDescent="0.2">
      <c r="A371" s="78" t="s">
        <v>408</v>
      </c>
      <c r="B371" s="78" t="s">
        <v>486</v>
      </c>
      <c r="C371" s="78">
        <v>19582</v>
      </c>
      <c r="D371" s="78">
        <v>168</v>
      </c>
      <c r="E371" s="78">
        <v>419</v>
      </c>
      <c r="F371" s="78">
        <v>387</v>
      </c>
      <c r="G371" s="78">
        <v>974</v>
      </c>
      <c r="H371" s="78">
        <v>1928</v>
      </c>
      <c r="I371" s="78">
        <v>364</v>
      </c>
      <c r="J371" s="78">
        <v>6897</v>
      </c>
      <c r="K371" s="78">
        <v>10163</v>
      </c>
      <c r="L371" s="78">
        <v>160</v>
      </c>
      <c r="M371" s="78">
        <v>444</v>
      </c>
      <c r="N371" s="78">
        <v>463</v>
      </c>
      <c r="O371" s="78">
        <v>1067</v>
      </c>
      <c r="P371" s="78">
        <v>2167</v>
      </c>
      <c r="Q371" s="78">
        <v>542</v>
      </c>
      <c r="R371" s="78">
        <v>5643</v>
      </c>
      <c r="S371" s="78">
        <v>9419</v>
      </c>
      <c r="T371" s="78">
        <v>19582</v>
      </c>
      <c r="U371" s="112">
        <v>0.35961597385353899</v>
      </c>
      <c r="V371" s="112">
        <v>1</v>
      </c>
      <c r="W371" s="78" t="s">
        <v>215</v>
      </c>
    </row>
    <row r="372" spans="1:23" s="115" customFormat="1" ht="14.45" customHeight="1" x14ac:dyDescent="0.2">
      <c r="A372" s="78" t="s">
        <v>409</v>
      </c>
      <c r="B372" s="78" t="s">
        <v>487</v>
      </c>
      <c r="C372" s="78">
        <v>43901</v>
      </c>
      <c r="D372" s="78">
        <v>0</v>
      </c>
      <c r="E372" s="78">
        <v>0</v>
      </c>
      <c r="F372" s="78">
        <v>0</v>
      </c>
      <c r="G372" s="78">
        <v>0</v>
      </c>
      <c r="H372" s="78">
        <v>0</v>
      </c>
      <c r="I372" s="78">
        <v>0</v>
      </c>
      <c r="J372" s="78">
        <v>10921</v>
      </c>
      <c r="K372" s="78">
        <v>10921</v>
      </c>
      <c r="L372" s="78">
        <v>0</v>
      </c>
      <c r="M372" s="78">
        <v>0</v>
      </c>
      <c r="N372" s="78">
        <v>0</v>
      </c>
      <c r="O372" s="78">
        <v>0</v>
      </c>
      <c r="P372" s="78">
        <v>0</v>
      </c>
      <c r="Q372" s="78">
        <v>0</v>
      </c>
      <c r="R372" s="78">
        <v>32980</v>
      </c>
      <c r="S372" s="78">
        <v>32980</v>
      </c>
      <c r="T372" s="78">
        <v>43915</v>
      </c>
      <c r="U372" s="112">
        <v>0</v>
      </c>
      <c r="V372" s="112">
        <v>0.99968120232266899</v>
      </c>
      <c r="W372" s="78" t="s">
        <v>216</v>
      </c>
    </row>
    <row r="373" spans="1:23" s="115" customFormat="1" ht="14.45" customHeight="1" x14ac:dyDescent="0.2">
      <c r="A373" s="78" t="s">
        <v>409</v>
      </c>
      <c r="B373" s="78" t="s">
        <v>486</v>
      </c>
      <c r="C373" s="78">
        <v>237767</v>
      </c>
      <c r="D373" s="78">
        <v>5931</v>
      </c>
      <c r="E373" s="78">
        <v>8493</v>
      </c>
      <c r="F373" s="78">
        <v>4789</v>
      </c>
      <c r="G373" s="78">
        <v>19213</v>
      </c>
      <c r="H373" s="78">
        <v>38370</v>
      </c>
      <c r="I373" s="78">
        <v>1410</v>
      </c>
      <c r="J373" s="78">
        <v>0</v>
      </c>
      <c r="K373" s="78">
        <v>58993</v>
      </c>
      <c r="L373" s="78">
        <v>4788</v>
      </c>
      <c r="M373" s="78">
        <v>9528</v>
      </c>
      <c r="N373" s="78">
        <v>10068</v>
      </c>
      <c r="O373" s="78">
        <v>24384</v>
      </c>
      <c r="P373" s="78">
        <v>152361</v>
      </c>
      <c r="Q373" s="78">
        <v>2029</v>
      </c>
      <c r="R373" s="78">
        <v>0</v>
      </c>
      <c r="S373" s="78">
        <v>178774</v>
      </c>
      <c r="T373" s="78">
        <v>237767</v>
      </c>
      <c r="U373" s="112">
        <v>1</v>
      </c>
      <c r="V373" s="112">
        <v>1</v>
      </c>
      <c r="W373" s="78" t="s">
        <v>216</v>
      </c>
    </row>
    <row r="374" spans="1:23" s="115" customFormat="1" ht="14.45" customHeight="1" x14ac:dyDescent="0.2">
      <c r="A374" s="78" t="s">
        <v>409</v>
      </c>
      <c r="B374" s="78" t="s">
        <v>490</v>
      </c>
      <c r="C374" s="78">
        <v>0</v>
      </c>
      <c r="D374" s="78">
        <v>0</v>
      </c>
      <c r="E374" s="78">
        <v>0</v>
      </c>
      <c r="F374" s="78">
        <v>0</v>
      </c>
      <c r="G374" s="78">
        <v>0</v>
      </c>
      <c r="H374" s="78">
        <v>0</v>
      </c>
      <c r="I374" s="78">
        <v>0</v>
      </c>
      <c r="J374" s="78">
        <v>0</v>
      </c>
      <c r="K374" s="78">
        <v>0</v>
      </c>
      <c r="L374" s="78">
        <v>0</v>
      </c>
      <c r="M374" s="78">
        <v>0</v>
      </c>
      <c r="N374" s="78">
        <v>0</v>
      </c>
      <c r="O374" s="78">
        <v>0</v>
      </c>
      <c r="P374" s="78">
        <v>0</v>
      </c>
      <c r="Q374" s="78">
        <v>0</v>
      </c>
      <c r="R374" s="78">
        <v>0</v>
      </c>
      <c r="S374" s="78">
        <v>0</v>
      </c>
      <c r="T374" s="78">
        <v>1951</v>
      </c>
      <c r="U374" s="112">
        <v>0</v>
      </c>
      <c r="V374" s="112">
        <v>0</v>
      </c>
      <c r="W374" s="78" t="s">
        <v>216</v>
      </c>
    </row>
    <row r="375" spans="1:23" s="115" customFormat="1" ht="14.45" customHeight="1" x14ac:dyDescent="0.2">
      <c r="A375" s="78" t="s">
        <v>217</v>
      </c>
      <c r="B375" s="78" t="s">
        <v>487</v>
      </c>
      <c r="C375" s="78">
        <v>0</v>
      </c>
      <c r="D375" s="78">
        <v>0</v>
      </c>
      <c r="E375" s="78">
        <v>0</v>
      </c>
      <c r="F375" s="78">
        <v>0</v>
      </c>
      <c r="G375" s="78">
        <v>0</v>
      </c>
      <c r="H375" s="78">
        <v>0</v>
      </c>
      <c r="I375" s="78">
        <v>0</v>
      </c>
      <c r="J375" s="78">
        <v>0</v>
      </c>
      <c r="K375" s="78">
        <v>0</v>
      </c>
      <c r="L375" s="78">
        <v>0</v>
      </c>
      <c r="M375" s="78">
        <v>0</v>
      </c>
      <c r="N375" s="78">
        <v>0</v>
      </c>
      <c r="O375" s="78">
        <v>0</v>
      </c>
      <c r="P375" s="78">
        <v>0</v>
      </c>
      <c r="Q375" s="78">
        <v>0</v>
      </c>
      <c r="R375" s="78">
        <v>0</v>
      </c>
      <c r="S375" s="78">
        <v>0</v>
      </c>
      <c r="T375" s="78">
        <v>1839</v>
      </c>
      <c r="U375" s="112">
        <v>0</v>
      </c>
      <c r="V375" s="112">
        <v>0</v>
      </c>
      <c r="W375" s="78" t="s">
        <v>218</v>
      </c>
    </row>
    <row r="376" spans="1:23" s="115" customFormat="1" ht="14.45" customHeight="1" x14ac:dyDescent="0.2">
      <c r="A376" s="78" t="s">
        <v>217</v>
      </c>
      <c r="B376" s="78" t="s">
        <v>486</v>
      </c>
      <c r="C376" s="78">
        <v>0</v>
      </c>
      <c r="D376" s="78">
        <v>0</v>
      </c>
      <c r="E376" s="78">
        <v>0</v>
      </c>
      <c r="F376" s="78">
        <v>0</v>
      </c>
      <c r="G376" s="78">
        <v>0</v>
      </c>
      <c r="H376" s="78">
        <v>0</v>
      </c>
      <c r="I376" s="78">
        <v>0</v>
      </c>
      <c r="J376" s="78">
        <v>0</v>
      </c>
      <c r="K376" s="78">
        <v>0</v>
      </c>
      <c r="L376" s="78">
        <v>0</v>
      </c>
      <c r="M376" s="78">
        <v>0</v>
      </c>
      <c r="N376" s="78">
        <v>0</v>
      </c>
      <c r="O376" s="78">
        <v>0</v>
      </c>
      <c r="P376" s="78">
        <v>0</v>
      </c>
      <c r="Q376" s="78">
        <v>0</v>
      </c>
      <c r="R376" s="78">
        <v>0</v>
      </c>
      <c r="S376" s="78">
        <v>0</v>
      </c>
      <c r="T376" s="78">
        <v>1837</v>
      </c>
      <c r="U376" s="112">
        <v>0</v>
      </c>
      <c r="V376" s="112">
        <v>0</v>
      </c>
      <c r="W376" s="78" t="s">
        <v>218</v>
      </c>
    </row>
    <row r="377" spans="1:23" s="115" customFormat="1" ht="14.45" customHeight="1" x14ac:dyDescent="0.2">
      <c r="A377" s="78" t="s">
        <v>219</v>
      </c>
      <c r="B377" s="78" t="s">
        <v>487</v>
      </c>
      <c r="C377" s="78">
        <v>0</v>
      </c>
      <c r="D377" s="78">
        <v>0</v>
      </c>
      <c r="E377" s="78">
        <v>0</v>
      </c>
      <c r="F377" s="78">
        <v>0</v>
      </c>
      <c r="G377" s="78">
        <v>0</v>
      </c>
      <c r="H377" s="78">
        <v>0</v>
      </c>
      <c r="I377" s="78">
        <v>0</v>
      </c>
      <c r="J377" s="78">
        <v>0</v>
      </c>
      <c r="K377" s="78">
        <v>0</v>
      </c>
      <c r="L377" s="78">
        <v>0</v>
      </c>
      <c r="M377" s="78">
        <v>0</v>
      </c>
      <c r="N377" s="78">
        <v>0</v>
      </c>
      <c r="O377" s="78">
        <v>0</v>
      </c>
      <c r="P377" s="78">
        <v>0</v>
      </c>
      <c r="Q377" s="78">
        <v>0</v>
      </c>
      <c r="R377" s="78">
        <v>0</v>
      </c>
      <c r="S377" s="78">
        <v>0</v>
      </c>
      <c r="T377" s="78">
        <v>124</v>
      </c>
      <c r="U377" s="112">
        <v>0</v>
      </c>
      <c r="V377" s="112">
        <v>0</v>
      </c>
      <c r="W377" s="78" t="s">
        <v>220</v>
      </c>
    </row>
    <row r="378" spans="1:23" s="115" customFormat="1" ht="14.45" customHeight="1" x14ac:dyDescent="0.2">
      <c r="A378" s="78" t="s">
        <v>219</v>
      </c>
      <c r="B378" s="78" t="s">
        <v>491</v>
      </c>
      <c r="C378" s="78">
        <v>0</v>
      </c>
      <c r="D378" s="78">
        <v>0</v>
      </c>
      <c r="E378" s="78">
        <v>0</v>
      </c>
      <c r="F378" s="78">
        <v>0</v>
      </c>
      <c r="G378" s="78">
        <v>0</v>
      </c>
      <c r="H378" s="78">
        <v>0</v>
      </c>
      <c r="I378" s="78">
        <v>0</v>
      </c>
      <c r="J378" s="78">
        <v>0</v>
      </c>
      <c r="K378" s="78">
        <v>0</v>
      </c>
      <c r="L378" s="78">
        <v>0</v>
      </c>
      <c r="M378" s="78">
        <v>0</v>
      </c>
      <c r="N378" s="78">
        <v>0</v>
      </c>
      <c r="O378" s="78">
        <v>0</v>
      </c>
      <c r="P378" s="78">
        <v>0</v>
      </c>
      <c r="Q378" s="78">
        <v>0</v>
      </c>
      <c r="R378" s="78">
        <v>0</v>
      </c>
      <c r="S378" s="78">
        <v>0</v>
      </c>
      <c r="T378" s="78">
        <v>583</v>
      </c>
      <c r="U378" s="112">
        <v>0</v>
      </c>
      <c r="V378" s="112">
        <v>0</v>
      </c>
      <c r="W378" s="78" t="s">
        <v>220</v>
      </c>
    </row>
    <row r="379" spans="1:23" s="115" customFormat="1" ht="14.45" customHeight="1" x14ac:dyDescent="0.2">
      <c r="A379" s="78" t="s">
        <v>219</v>
      </c>
      <c r="B379" s="78" t="s">
        <v>486</v>
      </c>
      <c r="C379" s="78">
        <v>0</v>
      </c>
      <c r="D379" s="78">
        <v>0</v>
      </c>
      <c r="E379" s="78">
        <v>0</v>
      </c>
      <c r="F379" s="78">
        <v>0</v>
      </c>
      <c r="G379" s="78">
        <v>0</v>
      </c>
      <c r="H379" s="78">
        <v>0</v>
      </c>
      <c r="I379" s="78">
        <v>0</v>
      </c>
      <c r="J379" s="78">
        <v>0</v>
      </c>
      <c r="K379" s="78">
        <v>0</v>
      </c>
      <c r="L379" s="78">
        <v>0</v>
      </c>
      <c r="M379" s="78">
        <v>0</v>
      </c>
      <c r="N379" s="78">
        <v>0</v>
      </c>
      <c r="O379" s="78">
        <v>0</v>
      </c>
      <c r="P379" s="78">
        <v>0</v>
      </c>
      <c r="Q379" s="78">
        <v>0</v>
      </c>
      <c r="R379" s="78">
        <v>0</v>
      </c>
      <c r="S379" s="78">
        <v>0</v>
      </c>
      <c r="T379" s="78">
        <v>311</v>
      </c>
      <c r="U379" s="112">
        <v>0</v>
      </c>
      <c r="V379" s="112">
        <v>0</v>
      </c>
      <c r="W379" s="78" t="s">
        <v>220</v>
      </c>
    </row>
    <row r="380" spans="1:23" s="115" customFormat="1" ht="14.45" customHeight="1" x14ac:dyDescent="0.2">
      <c r="A380" s="78" t="s">
        <v>221</v>
      </c>
      <c r="B380" s="78" t="s">
        <v>487</v>
      </c>
      <c r="C380" s="78">
        <v>35570</v>
      </c>
      <c r="D380" s="78">
        <v>1457</v>
      </c>
      <c r="E380" s="78">
        <v>4684</v>
      </c>
      <c r="F380" s="78">
        <v>3484</v>
      </c>
      <c r="G380" s="78">
        <v>9625</v>
      </c>
      <c r="H380" s="78">
        <v>9009</v>
      </c>
      <c r="I380" s="78">
        <v>791</v>
      </c>
      <c r="J380" s="78">
        <v>0</v>
      </c>
      <c r="K380" s="78">
        <v>19425</v>
      </c>
      <c r="L380" s="78">
        <v>1474</v>
      </c>
      <c r="M380" s="78">
        <v>4822</v>
      </c>
      <c r="N380" s="78">
        <v>3354</v>
      </c>
      <c r="O380" s="78">
        <v>9650</v>
      </c>
      <c r="P380" s="78">
        <v>5808</v>
      </c>
      <c r="Q380" s="78">
        <v>687</v>
      </c>
      <c r="R380" s="78">
        <v>0</v>
      </c>
      <c r="S380" s="78">
        <v>16145</v>
      </c>
      <c r="T380" s="78">
        <v>35570</v>
      </c>
      <c r="U380" s="112">
        <v>1</v>
      </c>
      <c r="V380" s="112">
        <v>1</v>
      </c>
      <c r="W380" s="78" t="s">
        <v>222</v>
      </c>
    </row>
    <row r="381" spans="1:23" s="115" customFormat="1" ht="14.45" customHeight="1" x14ac:dyDescent="0.2">
      <c r="A381" s="78" t="s">
        <v>221</v>
      </c>
      <c r="B381" s="78" t="s">
        <v>489</v>
      </c>
      <c r="C381" s="78">
        <v>335277</v>
      </c>
      <c r="D381" s="78">
        <v>24056</v>
      </c>
      <c r="E381" s="78">
        <v>49136</v>
      </c>
      <c r="F381" s="78">
        <v>30786</v>
      </c>
      <c r="G381" s="78">
        <v>103978</v>
      </c>
      <c r="H381" s="78">
        <v>69575</v>
      </c>
      <c r="I381" s="78">
        <v>6365</v>
      </c>
      <c r="J381" s="78">
        <v>0</v>
      </c>
      <c r="K381" s="78">
        <v>179918</v>
      </c>
      <c r="L381" s="78">
        <v>21379</v>
      </c>
      <c r="M381" s="78">
        <v>42837</v>
      </c>
      <c r="N381" s="78">
        <v>25728</v>
      </c>
      <c r="O381" s="78">
        <v>89944</v>
      </c>
      <c r="P381" s="78">
        <v>59952</v>
      </c>
      <c r="Q381" s="78">
        <v>5463</v>
      </c>
      <c r="R381" s="78">
        <v>0</v>
      </c>
      <c r="S381" s="78">
        <v>155359</v>
      </c>
      <c r="T381" s="78">
        <v>335277</v>
      </c>
      <c r="U381" s="112">
        <v>1</v>
      </c>
      <c r="V381" s="112">
        <v>1</v>
      </c>
      <c r="W381" s="78" t="s">
        <v>222</v>
      </c>
    </row>
    <row r="382" spans="1:23" s="115" customFormat="1" ht="14.45" customHeight="1" x14ac:dyDescent="0.2">
      <c r="A382" s="78" t="s">
        <v>221</v>
      </c>
      <c r="B382" s="78" t="s">
        <v>491</v>
      </c>
      <c r="C382" s="78">
        <v>45410</v>
      </c>
      <c r="D382" s="78">
        <v>1899</v>
      </c>
      <c r="E382" s="78">
        <v>6599</v>
      </c>
      <c r="F382" s="78">
        <v>4410</v>
      </c>
      <c r="G382" s="78">
        <v>12908</v>
      </c>
      <c r="H382" s="78">
        <v>11313</v>
      </c>
      <c r="I382" s="78">
        <v>1095</v>
      </c>
      <c r="J382" s="78">
        <v>0</v>
      </c>
      <c r="K382" s="78">
        <v>25316</v>
      </c>
      <c r="L382" s="78">
        <v>1941</v>
      </c>
      <c r="M382" s="78">
        <v>6379</v>
      </c>
      <c r="N382" s="78">
        <v>3911</v>
      </c>
      <c r="O382" s="78">
        <v>12231</v>
      </c>
      <c r="P382" s="78">
        <v>6376</v>
      </c>
      <c r="Q382" s="78">
        <v>1487</v>
      </c>
      <c r="R382" s="78">
        <v>0</v>
      </c>
      <c r="S382" s="78">
        <v>20094</v>
      </c>
      <c r="T382" s="78">
        <v>45410</v>
      </c>
      <c r="U382" s="112">
        <v>1</v>
      </c>
      <c r="V382" s="112">
        <v>1</v>
      </c>
      <c r="W382" s="78" t="s">
        <v>222</v>
      </c>
    </row>
    <row r="383" spans="1:23" s="115" customFormat="1" ht="14.45" customHeight="1" x14ac:dyDescent="0.2">
      <c r="A383" s="78" t="s">
        <v>221</v>
      </c>
      <c r="B383" s="78" t="s">
        <v>486</v>
      </c>
      <c r="C383" s="78">
        <v>269996</v>
      </c>
      <c r="D383" s="78">
        <v>14510</v>
      </c>
      <c r="E383" s="78">
        <v>40651</v>
      </c>
      <c r="F383" s="78">
        <v>25592</v>
      </c>
      <c r="G383" s="78">
        <v>80753</v>
      </c>
      <c r="H383" s="78">
        <v>63381</v>
      </c>
      <c r="I383" s="78">
        <v>4783</v>
      </c>
      <c r="J383" s="78">
        <v>0</v>
      </c>
      <c r="K383" s="78">
        <v>148917</v>
      </c>
      <c r="L383" s="78">
        <v>14554</v>
      </c>
      <c r="M383" s="78">
        <v>38563</v>
      </c>
      <c r="N383" s="78">
        <v>22739</v>
      </c>
      <c r="O383" s="78">
        <v>75856</v>
      </c>
      <c r="P383" s="78">
        <v>39703</v>
      </c>
      <c r="Q383" s="78">
        <v>5520</v>
      </c>
      <c r="R383" s="78">
        <v>0</v>
      </c>
      <c r="S383" s="78">
        <v>121079</v>
      </c>
      <c r="T383" s="78">
        <v>269996</v>
      </c>
      <c r="U383" s="112">
        <v>1</v>
      </c>
      <c r="V383" s="112">
        <v>1</v>
      </c>
      <c r="W383" s="78" t="s">
        <v>222</v>
      </c>
    </row>
    <row r="384" spans="1:23" s="115" customFormat="1" ht="14.45" customHeight="1" x14ac:dyDescent="0.2">
      <c r="A384" s="78" t="s">
        <v>223</v>
      </c>
      <c r="B384" s="78" t="s">
        <v>487</v>
      </c>
      <c r="C384" s="78">
        <v>34170</v>
      </c>
      <c r="D384" s="78">
        <v>1413</v>
      </c>
      <c r="E384" s="78">
        <v>2085</v>
      </c>
      <c r="F384" s="78">
        <v>1116</v>
      </c>
      <c r="G384" s="78">
        <v>4614</v>
      </c>
      <c r="H384" s="78">
        <v>4670</v>
      </c>
      <c r="I384" s="78">
        <v>551</v>
      </c>
      <c r="J384" s="78">
        <v>5621</v>
      </c>
      <c r="K384" s="78">
        <v>15456</v>
      </c>
      <c r="L384" s="78">
        <v>1368</v>
      </c>
      <c r="M384" s="78">
        <v>1993</v>
      </c>
      <c r="N384" s="78">
        <v>893</v>
      </c>
      <c r="O384" s="78">
        <v>4254</v>
      </c>
      <c r="P384" s="78">
        <v>2101</v>
      </c>
      <c r="Q384" s="78">
        <v>293</v>
      </c>
      <c r="R384" s="78">
        <v>12066</v>
      </c>
      <c r="S384" s="78">
        <v>18714</v>
      </c>
      <c r="T384" s="78">
        <v>34170</v>
      </c>
      <c r="U384" s="112">
        <v>0.48238220661398901</v>
      </c>
      <c r="V384" s="112">
        <v>1</v>
      </c>
      <c r="W384" s="78" t="s">
        <v>224</v>
      </c>
    </row>
    <row r="385" spans="1:23" s="115" customFormat="1" ht="14.45" customHeight="1" x14ac:dyDescent="0.2">
      <c r="A385" s="78" t="s">
        <v>223</v>
      </c>
      <c r="B385" s="78" t="s">
        <v>493</v>
      </c>
      <c r="C385" s="78">
        <v>0</v>
      </c>
      <c r="D385" s="78">
        <v>0</v>
      </c>
      <c r="E385" s="78">
        <v>0</v>
      </c>
      <c r="F385" s="78">
        <v>0</v>
      </c>
      <c r="G385" s="78">
        <v>0</v>
      </c>
      <c r="H385" s="78">
        <v>0</v>
      </c>
      <c r="I385" s="78">
        <v>0</v>
      </c>
      <c r="J385" s="78">
        <v>0</v>
      </c>
      <c r="K385" s="78">
        <v>0</v>
      </c>
      <c r="L385" s="78">
        <v>0</v>
      </c>
      <c r="M385" s="78">
        <v>0</v>
      </c>
      <c r="N385" s="78">
        <v>0</v>
      </c>
      <c r="O385" s="78">
        <v>0</v>
      </c>
      <c r="P385" s="78">
        <v>0</v>
      </c>
      <c r="Q385" s="78">
        <v>0</v>
      </c>
      <c r="R385" s="78">
        <v>0</v>
      </c>
      <c r="S385" s="78">
        <v>0</v>
      </c>
      <c r="T385" s="78">
        <v>35131</v>
      </c>
      <c r="U385" s="112">
        <v>0</v>
      </c>
      <c r="V385" s="112">
        <v>0</v>
      </c>
      <c r="W385" s="78" t="s">
        <v>224</v>
      </c>
    </row>
    <row r="386" spans="1:23" s="115" customFormat="1" ht="14.45" customHeight="1" x14ac:dyDescent="0.2">
      <c r="A386" s="78" t="s">
        <v>223</v>
      </c>
      <c r="B386" s="78" t="s">
        <v>489</v>
      </c>
      <c r="C386" s="78">
        <v>0</v>
      </c>
      <c r="D386" s="78">
        <v>0</v>
      </c>
      <c r="E386" s="78">
        <v>0</v>
      </c>
      <c r="F386" s="78">
        <v>0</v>
      </c>
      <c r="G386" s="78">
        <v>0</v>
      </c>
      <c r="H386" s="78">
        <v>0</v>
      </c>
      <c r="I386" s="78">
        <v>0</v>
      </c>
      <c r="J386" s="78">
        <v>0</v>
      </c>
      <c r="K386" s="78">
        <v>0</v>
      </c>
      <c r="L386" s="78">
        <v>0</v>
      </c>
      <c r="M386" s="78">
        <v>0</v>
      </c>
      <c r="N386" s="78">
        <v>0</v>
      </c>
      <c r="O386" s="78">
        <v>0</v>
      </c>
      <c r="P386" s="78">
        <v>0</v>
      </c>
      <c r="Q386" s="78">
        <v>0</v>
      </c>
      <c r="R386" s="78">
        <v>0</v>
      </c>
      <c r="S386" s="78">
        <v>0</v>
      </c>
      <c r="T386" s="78">
        <v>3313601</v>
      </c>
      <c r="U386" s="112">
        <v>0</v>
      </c>
      <c r="V386" s="112">
        <v>0</v>
      </c>
      <c r="W386" s="78" t="s">
        <v>224</v>
      </c>
    </row>
    <row r="387" spans="1:23" s="115" customFormat="1" ht="14.45" customHeight="1" x14ac:dyDescent="0.2">
      <c r="A387" s="78" t="s">
        <v>223</v>
      </c>
      <c r="B387" s="78" t="s">
        <v>491</v>
      </c>
      <c r="C387" s="78">
        <v>326</v>
      </c>
      <c r="D387" s="78">
        <v>68</v>
      </c>
      <c r="E387" s="78">
        <v>47</v>
      </c>
      <c r="F387" s="78">
        <v>19</v>
      </c>
      <c r="G387" s="78">
        <v>134</v>
      </c>
      <c r="H387" s="78">
        <v>23</v>
      </c>
      <c r="I387" s="78">
        <v>0</v>
      </c>
      <c r="J387" s="78">
        <v>0</v>
      </c>
      <c r="K387" s="78">
        <v>157</v>
      </c>
      <c r="L387" s="78">
        <v>65</v>
      </c>
      <c r="M387" s="78">
        <v>47</v>
      </c>
      <c r="N387" s="78">
        <v>30</v>
      </c>
      <c r="O387" s="78">
        <v>142</v>
      </c>
      <c r="P387" s="78">
        <v>27</v>
      </c>
      <c r="Q387" s="78">
        <v>0</v>
      </c>
      <c r="R387" s="78">
        <v>0</v>
      </c>
      <c r="S387" s="78">
        <v>169</v>
      </c>
      <c r="T387" s="78">
        <v>326</v>
      </c>
      <c r="U387" s="112">
        <v>1</v>
      </c>
      <c r="V387" s="112">
        <v>1</v>
      </c>
      <c r="W387" s="78" t="s">
        <v>224</v>
      </c>
    </row>
    <row r="388" spans="1:23" s="115" customFormat="1" ht="14.45" customHeight="1" x14ac:dyDescent="0.2">
      <c r="A388" s="78" t="s">
        <v>223</v>
      </c>
      <c r="B388" s="78" t="s">
        <v>492</v>
      </c>
      <c r="C388" s="78">
        <v>31747</v>
      </c>
      <c r="D388" s="78">
        <v>3054</v>
      </c>
      <c r="E388" s="78">
        <v>8612</v>
      </c>
      <c r="F388" s="78">
        <v>0</v>
      </c>
      <c r="G388" s="78">
        <v>11666</v>
      </c>
      <c r="H388" s="78">
        <v>6411</v>
      </c>
      <c r="I388" s="78">
        <v>340</v>
      </c>
      <c r="J388" s="78">
        <v>0</v>
      </c>
      <c r="K388" s="78">
        <v>18417</v>
      </c>
      <c r="L388" s="78">
        <v>2718</v>
      </c>
      <c r="M388" s="78">
        <v>7118</v>
      </c>
      <c r="N388" s="78">
        <v>0</v>
      </c>
      <c r="O388" s="78">
        <v>9836</v>
      </c>
      <c r="P388" s="78">
        <v>3142</v>
      </c>
      <c r="Q388" s="78">
        <v>352</v>
      </c>
      <c r="R388" s="78">
        <v>0</v>
      </c>
      <c r="S388" s="78">
        <v>13330</v>
      </c>
      <c r="T388" s="78">
        <v>31747</v>
      </c>
      <c r="U388" s="112">
        <v>1</v>
      </c>
      <c r="V388" s="112">
        <v>1</v>
      </c>
      <c r="W388" s="78" t="s">
        <v>224</v>
      </c>
    </row>
    <row r="389" spans="1:23" s="115" customFormat="1" ht="14.45" customHeight="1" x14ac:dyDescent="0.2">
      <c r="A389" s="78" t="s">
        <v>223</v>
      </c>
      <c r="B389" s="78" t="s">
        <v>486</v>
      </c>
      <c r="C389" s="78">
        <v>69940</v>
      </c>
      <c r="D389" s="78">
        <v>4041</v>
      </c>
      <c r="E389" s="78">
        <v>8761</v>
      </c>
      <c r="F389" s="78">
        <v>5528</v>
      </c>
      <c r="G389" s="78">
        <v>18330</v>
      </c>
      <c r="H389" s="78">
        <v>19065</v>
      </c>
      <c r="I389" s="78">
        <v>1594</v>
      </c>
      <c r="J389" s="78">
        <v>0</v>
      </c>
      <c r="K389" s="78">
        <v>38989</v>
      </c>
      <c r="L389" s="78">
        <v>4062</v>
      </c>
      <c r="M389" s="78">
        <v>8795</v>
      </c>
      <c r="N389" s="78">
        <v>5145</v>
      </c>
      <c r="O389" s="78">
        <v>18002</v>
      </c>
      <c r="P389" s="78">
        <v>11959</v>
      </c>
      <c r="Q389" s="78">
        <v>990</v>
      </c>
      <c r="R389" s="78">
        <v>0</v>
      </c>
      <c r="S389" s="78">
        <v>30951</v>
      </c>
      <c r="T389" s="78">
        <v>69940</v>
      </c>
      <c r="U389" s="112">
        <v>1</v>
      </c>
      <c r="V389" s="112">
        <v>1</v>
      </c>
      <c r="W389" s="78" t="s">
        <v>224</v>
      </c>
    </row>
    <row r="390" spans="1:23" s="115" customFormat="1" ht="14.45" customHeight="1" x14ac:dyDescent="0.2">
      <c r="A390" s="78" t="s">
        <v>225</v>
      </c>
      <c r="B390" s="78" t="s">
        <v>487</v>
      </c>
      <c r="C390" s="78">
        <v>39</v>
      </c>
      <c r="D390" s="78">
        <v>0</v>
      </c>
      <c r="E390" s="78">
        <v>0</v>
      </c>
      <c r="F390" s="78">
        <v>0</v>
      </c>
      <c r="G390" s="78">
        <v>0</v>
      </c>
      <c r="H390" s="78">
        <v>0</v>
      </c>
      <c r="I390" s="78">
        <v>0</v>
      </c>
      <c r="J390" s="78">
        <v>0</v>
      </c>
      <c r="K390" s="78">
        <v>0</v>
      </c>
      <c r="L390" s="78">
        <v>0</v>
      </c>
      <c r="M390" s="78">
        <v>0</v>
      </c>
      <c r="N390" s="78">
        <v>5</v>
      </c>
      <c r="O390" s="78">
        <v>5</v>
      </c>
      <c r="P390" s="78">
        <v>34</v>
      </c>
      <c r="Q390" s="78">
        <v>0</v>
      </c>
      <c r="R390" s="78">
        <v>0</v>
      </c>
      <c r="S390" s="78">
        <v>39</v>
      </c>
      <c r="T390" s="78">
        <v>39</v>
      </c>
      <c r="U390" s="112">
        <v>1</v>
      </c>
      <c r="V390" s="112">
        <v>1</v>
      </c>
      <c r="W390" s="78" t="s">
        <v>226</v>
      </c>
    </row>
    <row r="391" spans="1:23" s="115" customFormat="1" ht="14.45" customHeight="1" x14ac:dyDescent="0.2">
      <c r="A391" s="78" t="s">
        <v>225</v>
      </c>
      <c r="B391" s="78" t="s">
        <v>491</v>
      </c>
      <c r="C391" s="78">
        <v>0</v>
      </c>
      <c r="D391" s="78">
        <v>0</v>
      </c>
      <c r="E391" s="78">
        <v>0</v>
      </c>
      <c r="F391" s="78">
        <v>0</v>
      </c>
      <c r="G391" s="78">
        <v>0</v>
      </c>
      <c r="H391" s="78">
        <v>0</v>
      </c>
      <c r="I391" s="78">
        <v>0</v>
      </c>
      <c r="J391" s="78">
        <v>0</v>
      </c>
      <c r="K391" s="78">
        <v>0</v>
      </c>
      <c r="L391" s="78">
        <v>0</v>
      </c>
      <c r="M391" s="78">
        <v>0</v>
      </c>
      <c r="N391" s="78">
        <v>0</v>
      </c>
      <c r="O391" s="78">
        <v>0</v>
      </c>
      <c r="P391" s="78">
        <v>0</v>
      </c>
      <c r="Q391" s="78">
        <v>0</v>
      </c>
      <c r="R391" s="78">
        <v>0</v>
      </c>
      <c r="S391" s="78">
        <v>0</v>
      </c>
      <c r="T391" s="78">
        <v>33</v>
      </c>
      <c r="U391" s="112">
        <v>0</v>
      </c>
      <c r="V391" s="112">
        <v>0</v>
      </c>
      <c r="W391" s="78" t="s">
        <v>226</v>
      </c>
    </row>
    <row r="392" spans="1:23" s="115" customFormat="1" ht="14.45" customHeight="1" x14ac:dyDescent="0.2">
      <c r="A392" s="78" t="s">
        <v>225</v>
      </c>
      <c r="B392" s="78" t="s">
        <v>486</v>
      </c>
      <c r="C392" s="78">
        <v>195</v>
      </c>
      <c r="D392" s="78">
        <v>5</v>
      </c>
      <c r="E392" s="78">
        <v>10</v>
      </c>
      <c r="F392" s="78">
        <v>8</v>
      </c>
      <c r="G392" s="78">
        <v>23</v>
      </c>
      <c r="H392" s="78">
        <v>72</v>
      </c>
      <c r="I392" s="78">
        <v>7</v>
      </c>
      <c r="J392" s="78">
        <v>0</v>
      </c>
      <c r="K392" s="78">
        <v>102</v>
      </c>
      <c r="L392" s="78">
        <v>5</v>
      </c>
      <c r="M392" s="78">
        <v>15</v>
      </c>
      <c r="N392" s="78">
        <v>11</v>
      </c>
      <c r="O392" s="78">
        <v>31</v>
      </c>
      <c r="P392" s="78">
        <v>57</v>
      </c>
      <c r="Q392" s="78">
        <v>5</v>
      </c>
      <c r="R392" s="78">
        <v>0</v>
      </c>
      <c r="S392" s="78">
        <v>93</v>
      </c>
      <c r="T392" s="78">
        <v>18898</v>
      </c>
      <c r="U392" s="112">
        <v>1.0318552227749E-2</v>
      </c>
      <c r="V392" s="112">
        <v>1.0318552227749E-2</v>
      </c>
      <c r="W392" s="78" t="s">
        <v>226</v>
      </c>
    </row>
    <row r="393" spans="1:23" s="115" customFormat="1" ht="14.45" customHeight="1" x14ac:dyDescent="0.2">
      <c r="A393" s="78" t="s">
        <v>225</v>
      </c>
      <c r="B393" s="78" t="s">
        <v>490</v>
      </c>
      <c r="C393" s="78">
        <v>275</v>
      </c>
      <c r="D393" s="78">
        <v>10</v>
      </c>
      <c r="E393" s="78">
        <v>31</v>
      </c>
      <c r="F393" s="78">
        <v>35</v>
      </c>
      <c r="G393" s="78">
        <v>76</v>
      </c>
      <c r="H393" s="78">
        <v>57</v>
      </c>
      <c r="I393" s="78">
        <v>8</v>
      </c>
      <c r="J393" s="78">
        <v>0</v>
      </c>
      <c r="K393" s="78">
        <v>141</v>
      </c>
      <c r="L393" s="78">
        <v>10</v>
      </c>
      <c r="M393" s="78">
        <v>37</v>
      </c>
      <c r="N393" s="78">
        <v>24</v>
      </c>
      <c r="O393" s="78">
        <v>71</v>
      </c>
      <c r="P393" s="78">
        <v>63</v>
      </c>
      <c r="Q393" s="78">
        <v>0</v>
      </c>
      <c r="R393" s="78">
        <v>0</v>
      </c>
      <c r="S393" s="78">
        <v>134</v>
      </c>
      <c r="T393" s="78">
        <v>275</v>
      </c>
      <c r="U393" s="112">
        <v>1</v>
      </c>
      <c r="V393" s="112">
        <v>1</v>
      </c>
      <c r="W393" s="78" t="s">
        <v>226</v>
      </c>
    </row>
    <row r="394" spans="1:23" s="115" customFormat="1" ht="14.45" customHeight="1" x14ac:dyDescent="0.2">
      <c r="A394" s="78" t="s">
        <v>227</v>
      </c>
      <c r="B394" s="78" t="s">
        <v>487</v>
      </c>
      <c r="C394" s="78">
        <v>4905</v>
      </c>
      <c r="D394" s="78">
        <v>0</v>
      </c>
      <c r="E394" s="78">
        <v>0</v>
      </c>
      <c r="F394" s="78">
        <v>0</v>
      </c>
      <c r="G394" s="78">
        <v>0</v>
      </c>
      <c r="H394" s="78">
        <v>0</v>
      </c>
      <c r="I394" s="78">
        <v>0</v>
      </c>
      <c r="J394" s="78">
        <v>1621</v>
      </c>
      <c r="K394" s="78">
        <v>1621</v>
      </c>
      <c r="L394" s="78">
        <v>0</v>
      </c>
      <c r="M394" s="78">
        <v>0</v>
      </c>
      <c r="N394" s="78">
        <v>0</v>
      </c>
      <c r="O394" s="78">
        <v>0</v>
      </c>
      <c r="P394" s="78">
        <v>0</v>
      </c>
      <c r="Q394" s="78">
        <v>0</v>
      </c>
      <c r="R394" s="78">
        <v>3284</v>
      </c>
      <c r="S394" s="78">
        <v>3284</v>
      </c>
      <c r="T394" s="78">
        <v>4967</v>
      </c>
      <c r="U394" s="112">
        <v>0</v>
      </c>
      <c r="V394" s="112">
        <v>0.98751761626736501</v>
      </c>
      <c r="W394" s="78" t="s">
        <v>228</v>
      </c>
    </row>
    <row r="395" spans="1:23" s="115" customFormat="1" ht="14.45" customHeight="1" x14ac:dyDescent="0.2">
      <c r="A395" s="78" t="s">
        <v>227</v>
      </c>
      <c r="B395" s="78" t="s">
        <v>486</v>
      </c>
      <c r="C395" s="78">
        <v>103606</v>
      </c>
      <c r="D395" s="78">
        <v>2594</v>
      </c>
      <c r="E395" s="78">
        <v>3694</v>
      </c>
      <c r="F395" s="78">
        <v>2095</v>
      </c>
      <c r="G395" s="78">
        <v>8383</v>
      </c>
      <c r="H395" s="78">
        <v>16687</v>
      </c>
      <c r="I395" s="78">
        <v>620</v>
      </c>
      <c r="J395" s="78">
        <v>0</v>
      </c>
      <c r="K395" s="78">
        <v>25690</v>
      </c>
      <c r="L395" s="78">
        <v>2103</v>
      </c>
      <c r="M395" s="78">
        <v>4133</v>
      </c>
      <c r="N395" s="78">
        <v>4387</v>
      </c>
      <c r="O395" s="78">
        <v>10623</v>
      </c>
      <c r="P395" s="78">
        <v>66411</v>
      </c>
      <c r="Q395" s="78">
        <v>882</v>
      </c>
      <c r="R395" s="78">
        <v>0</v>
      </c>
      <c r="S395" s="78">
        <v>77916</v>
      </c>
      <c r="T395" s="78">
        <v>103606</v>
      </c>
      <c r="U395" s="112">
        <v>1</v>
      </c>
      <c r="V395" s="112">
        <v>1</v>
      </c>
      <c r="W395" s="78" t="s">
        <v>228</v>
      </c>
    </row>
    <row r="396" spans="1:23" s="115" customFormat="1" ht="14.45" customHeight="1" x14ac:dyDescent="0.2">
      <c r="A396" s="78" t="s">
        <v>229</v>
      </c>
      <c r="B396" s="78" t="s">
        <v>487</v>
      </c>
      <c r="C396" s="78">
        <v>421</v>
      </c>
      <c r="D396" s="78">
        <v>0</v>
      </c>
      <c r="E396" s="78">
        <v>18</v>
      </c>
      <c r="F396" s="78">
        <v>39</v>
      </c>
      <c r="G396" s="78">
        <v>57</v>
      </c>
      <c r="H396" s="78">
        <v>138</v>
      </c>
      <c r="I396" s="78">
        <v>19</v>
      </c>
      <c r="J396" s="78">
        <v>0</v>
      </c>
      <c r="K396" s="78">
        <v>214</v>
      </c>
      <c r="L396" s="78">
        <v>0</v>
      </c>
      <c r="M396" s="78">
        <v>21</v>
      </c>
      <c r="N396" s="78">
        <v>35</v>
      </c>
      <c r="O396" s="78">
        <v>56</v>
      </c>
      <c r="P396" s="78">
        <v>137</v>
      </c>
      <c r="Q396" s="78">
        <v>14</v>
      </c>
      <c r="R396" s="78">
        <v>0</v>
      </c>
      <c r="S396" s="78">
        <v>207</v>
      </c>
      <c r="T396" s="78">
        <v>421</v>
      </c>
      <c r="U396" s="112">
        <v>1</v>
      </c>
      <c r="V396" s="112">
        <v>1</v>
      </c>
      <c r="W396" s="78" t="s">
        <v>230</v>
      </c>
    </row>
    <row r="397" spans="1:23" s="115" customFormat="1" ht="14.45" customHeight="1" x14ac:dyDescent="0.2">
      <c r="A397" s="78" t="s">
        <v>229</v>
      </c>
      <c r="B397" s="78" t="s">
        <v>486</v>
      </c>
      <c r="C397" s="78">
        <v>300</v>
      </c>
      <c r="D397" s="78">
        <v>0</v>
      </c>
      <c r="E397" s="78">
        <v>15</v>
      </c>
      <c r="F397" s="78">
        <v>26</v>
      </c>
      <c r="G397" s="78">
        <v>41</v>
      </c>
      <c r="H397" s="78">
        <v>104</v>
      </c>
      <c r="I397" s="78">
        <v>8</v>
      </c>
      <c r="J397" s="78">
        <v>0</v>
      </c>
      <c r="K397" s="78">
        <v>153</v>
      </c>
      <c r="L397" s="78">
        <v>0</v>
      </c>
      <c r="M397" s="78">
        <v>19</v>
      </c>
      <c r="N397" s="78">
        <v>9</v>
      </c>
      <c r="O397" s="78">
        <v>28</v>
      </c>
      <c r="P397" s="78">
        <v>107</v>
      </c>
      <c r="Q397" s="78">
        <v>12</v>
      </c>
      <c r="R397" s="78">
        <v>0</v>
      </c>
      <c r="S397" s="78">
        <v>147</v>
      </c>
      <c r="T397" s="78">
        <v>300</v>
      </c>
      <c r="U397" s="112">
        <v>1</v>
      </c>
      <c r="V397" s="112">
        <v>1</v>
      </c>
      <c r="W397" s="78" t="s">
        <v>230</v>
      </c>
    </row>
    <row r="398" spans="1:23" s="115" customFormat="1" ht="14.45" customHeight="1" x14ac:dyDescent="0.2">
      <c r="A398" s="78" t="s">
        <v>412</v>
      </c>
      <c r="B398" s="78" t="s">
        <v>487</v>
      </c>
      <c r="C398" s="78">
        <v>61648</v>
      </c>
      <c r="D398" s="78">
        <v>3176</v>
      </c>
      <c r="E398" s="78">
        <v>6188</v>
      </c>
      <c r="F398" s="78">
        <v>4626</v>
      </c>
      <c r="G398" s="78">
        <v>13990</v>
      </c>
      <c r="H398" s="78">
        <v>16875</v>
      </c>
      <c r="I398" s="78">
        <v>1135</v>
      </c>
      <c r="J398" s="78">
        <v>0</v>
      </c>
      <c r="K398" s="78">
        <v>32000</v>
      </c>
      <c r="L398" s="78">
        <v>3188</v>
      </c>
      <c r="M398" s="78">
        <v>6603</v>
      </c>
      <c r="N398" s="78">
        <v>5208</v>
      </c>
      <c r="O398" s="78">
        <v>14999</v>
      </c>
      <c r="P398" s="78">
        <v>13468</v>
      </c>
      <c r="Q398" s="78">
        <v>1181</v>
      </c>
      <c r="R398" s="78">
        <v>0</v>
      </c>
      <c r="S398" s="78">
        <v>29648</v>
      </c>
      <c r="T398" s="78">
        <v>61648</v>
      </c>
      <c r="U398" s="112">
        <v>1</v>
      </c>
      <c r="V398" s="112">
        <v>1</v>
      </c>
      <c r="W398" s="78" t="s">
        <v>231</v>
      </c>
    </row>
    <row r="399" spans="1:23" s="115" customFormat="1" ht="14.45" customHeight="1" x14ac:dyDescent="0.2">
      <c r="A399" s="78" t="s">
        <v>412</v>
      </c>
      <c r="B399" s="78" t="s">
        <v>491</v>
      </c>
      <c r="C399" s="78">
        <v>142</v>
      </c>
      <c r="D399" s="78">
        <v>0</v>
      </c>
      <c r="E399" s="78">
        <v>23</v>
      </c>
      <c r="F399" s="78">
        <v>5</v>
      </c>
      <c r="G399" s="78">
        <v>28</v>
      </c>
      <c r="H399" s="78">
        <v>75</v>
      </c>
      <c r="I399" s="78">
        <v>0</v>
      </c>
      <c r="J399" s="78">
        <v>0</v>
      </c>
      <c r="K399" s="78">
        <v>103</v>
      </c>
      <c r="L399" s="78">
        <v>5</v>
      </c>
      <c r="M399" s="78">
        <v>20</v>
      </c>
      <c r="N399" s="78">
        <v>5</v>
      </c>
      <c r="O399" s="78">
        <v>30</v>
      </c>
      <c r="P399" s="78">
        <v>9</v>
      </c>
      <c r="Q399" s="78">
        <v>0</v>
      </c>
      <c r="R399" s="78">
        <v>0</v>
      </c>
      <c r="S399" s="78">
        <v>39</v>
      </c>
      <c r="T399" s="78">
        <v>142</v>
      </c>
      <c r="U399" s="112">
        <v>1</v>
      </c>
      <c r="V399" s="112">
        <v>1</v>
      </c>
      <c r="W399" s="78" t="s">
        <v>231</v>
      </c>
    </row>
    <row r="400" spans="1:23" s="115" customFormat="1" ht="14.45" customHeight="1" x14ac:dyDescent="0.2">
      <c r="A400" s="78" t="s">
        <v>412</v>
      </c>
      <c r="B400" s="78" t="s">
        <v>492</v>
      </c>
      <c r="C400" s="78">
        <v>0</v>
      </c>
      <c r="D400" s="78">
        <v>0</v>
      </c>
      <c r="E400" s="78">
        <v>0</v>
      </c>
      <c r="F400" s="78">
        <v>0</v>
      </c>
      <c r="G400" s="78">
        <v>0</v>
      </c>
      <c r="H400" s="78">
        <v>0</v>
      </c>
      <c r="I400" s="78">
        <v>0</v>
      </c>
      <c r="J400" s="78">
        <v>0</v>
      </c>
      <c r="K400" s="78">
        <v>0</v>
      </c>
      <c r="L400" s="78">
        <v>0</v>
      </c>
      <c r="M400" s="78">
        <v>0</v>
      </c>
      <c r="N400" s="78">
        <v>0</v>
      </c>
      <c r="O400" s="78">
        <v>0</v>
      </c>
      <c r="P400" s="78">
        <v>0</v>
      </c>
      <c r="Q400" s="78">
        <v>0</v>
      </c>
      <c r="R400" s="78">
        <v>0</v>
      </c>
      <c r="S400" s="78">
        <v>0</v>
      </c>
      <c r="T400" s="78">
        <v>36</v>
      </c>
      <c r="U400" s="112">
        <v>0</v>
      </c>
      <c r="V400" s="112">
        <v>0</v>
      </c>
      <c r="W400" s="78" t="s">
        <v>231</v>
      </c>
    </row>
    <row r="401" spans="1:23" s="115" customFormat="1" ht="14.45" customHeight="1" x14ac:dyDescent="0.2">
      <c r="A401" s="78" t="s">
        <v>412</v>
      </c>
      <c r="B401" s="78" t="s">
        <v>486</v>
      </c>
      <c r="C401" s="78">
        <v>1988231</v>
      </c>
      <c r="D401" s="78">
        <v>98961</v>
      </c>
      <c r="E401" s="78">
        <v>187208</v>
      </c>
      <c r="F401" s="78">
        <v>99022</v>
      </c>
      <c r="G401" s="78">
        <v>385191</v>
      </c>
      <c r="H401" s="78">
        <v>322825</v>
      </c>
      <c r="I401" s="78">
        <v>22469</v>
      </c>
      <c r="J401" s="78">
        <v>220030</v>
      </c>
      <c r="K401" s="78">
        <v>950515</v>
      </c>
      <c r="L401" s="78">
        <v>98446</v>
      </c>
      <c r="M401" s="78">
        <v>195228</v>
      </c>
      <c r="N401" s="78">
        <v>106018</v>
      </c>
      <c r="O401" s="78">
        <v>399692</v>
      </c>
      <c r="P401" s="78">
        <v>352986</v>
      </c>
      <c r="Q401" s="78">
        <v>32142</v>
      </c>
      <c r="R401" s="78">
        <v>252896</v>
      </c>
      <c r="S401" s="78">
        <v>1037716</v>
      </c>
      <c r="T401" s="78">
        <v>1988231</v>
      </c>
      <c r="U401" s="112">
        <v>0.76213729692374799</v>
      </c>
      <c r="V401" s="112">
        <v>1</v>
      </c>
      <c r="W401" s="78" t="s">
        <v>231</v>
      </c>
    </row>
    <row r="402" spans="1:23" s="115" customFormat="1" ht="14.45" customHeight="1" x14ac:dyDescent="0.2">
      <c r="A402" s="78" t="s">
        <v>232</v>
      </c>
      <c r="B402" s="78" t="s">
        <v>487</v>
      </c>
      <c r="C402" s="78">
        <v>0</v>
      </c>
      <c r="D402" s="78">
        <v>0</v>
      </c>
      <c r="E402" s="78">
        <v>0</v>
      </c>
      <c r="F402" s="78">
        <v>0</v>
      </c>
      <c r="G402" s="78">
        <v>0</v>
      </c>
      <c r="H402" s="78">
        <v>0</v>
      </c>
      <c r="I402" s="78">
        <v>0</v>
      </c>
      <c r="J402" s="78">
        <v>0</v>
      </c>
      <c r="K402" s="78">
        <v>0</v>
      </c>
      <c r="L402" s="78">
        <v>0</v>
      </c>
      <c r="M402" s="78">
        <v>0</v>
      </c>
      <c r="N402" s="78">
        <v>0</v>
      </c>
      <c r="O402" s="78">
        <v>0</v>
      </c>
      <c r="P402" s="78">
        <v>0</v>
      </c>
      <c r="Q402" s="78">
        <v>0</v>
      </c>
      <c r="R402" s="78">
        <v>0</v>
      </c>
      <c r="S402" s="78">
        <v>0</v>
      </c>
      <c r="T402" s="78">
        <v>8419</v>
      </c>
      <c r="U402" s="112">
        <v>0</v>
      </c>
      <c r="V402" s="112">
        <v>0</v>
      </c>
      <c r="W402" s="78" t="s">
        <v>233</v>
      </c>
    </row>
    <row r="403" spans="1:23" s="115" customFormat="1" ht="14.45" customHeight="1" x14ac:dyDescent="0.2">
      <c r="A403" s="78" t="s">
        <v>232</v>
      </c>
      <c r="B403" s="78" t="s">
        <v>488</v>
      </c>
      <c r="C403" s="78">
        <v>57358</v>
      </c>
      <c r="D403" s="78">
        <v>109</v>
      </c>
      <c r="E403" s="78">
        <v>2059</v>
      </c>
      <c r="F403" s="78">
        <v>2187</v>
      </c>
      <c r="G403" s="78">
        <v>4355</v>
      </c>
      <c r="H403" s="78">
        <v>23392</v>
      </c>
      <c r="I403" s="78">
        <v>2716</v>
      </c>
      <c r="J403" s="78">
        <v>0</v>
      </c>
      <c r="K403" s="78">
        <v>30463</v>
      </c>
      <c r="L403" s="78">
        <v>137</v>
      </c>
      <c r="M403" s="78">
        <v>2126</v>
      </c>
      <c r="N403" s="78">
        <v>2278</v>
      </c>
      <c r="O403" s="78">
        <v>4541</v>
      </c>
      <c r="P403" s="78">
        <v>20782</v>
      </c>
      <c r="Q403" s="78">
        <v>1572</v>
      </c>
      <c r="R403" s="78">
        <v>0</v>
      </c>
      <c r="S403" s="78">
        <v>26895</v>
      </c>
      <c r="T403" s="78">
        <v>57358</v>
      </c>
      <c r="U403" s="112">
        <v>1</v>
      </c>
      <c r="V403" s="112">
        <v>1</v>
      </c>
      <c r="W403" s="78" t="s">
        <v>233</v>
      </c>
    </row>
    <row r="404" spans="1:23" s="115" customFormat="1" ht="14.45" customHeight="1" x14ac:dyDescent="0.2">
      <c r="A404" s="78" t="s">
        <v>232</v>
      </c>
      <c r="B404" s="78" t="s">
        <v>491</v>
      </c>
      <c r="C404" s="78">
        <v>0</v>
      </c>
      <c r="D404" s="78">
        <v>0</v>
      </c>
      <c r="E404" s="78">
        <v>0</v>
      </c>
      <c r="F404" s="78">
        <v>0</v>
      </c>
      <c r="G404" s="78">
        <v>0</v>
      </c>
      <c r="H404" s="78">
        <v>0</v>
      </c>
      <c r="I404" s="78">
        <v>0</v>
      </c>
      <c r="J404" s="78">
        <v>0</v>
      </c>
      <c r="K404" s="78">
        <v>0</v>
      </c>
      <c r="L404" s="78">
        <v>0</v>
      </c>
      <c r="M404" s="78">
        <v>0</v>
      </c>
      <c r="N404" s="78">
        <v>0</v>
      </c>
      <c r="O404" s="78">
        <v>0</v>
      </c>
      <c r="P404" s="78">
        <v>0</v>
      </c>
      <c r="Q404" s="78">
        <v>0</v>
      </c>
      <c r="R404" s="78">
        <v>0</v>
      </c>
      <c r="S404" s="78">
        <v>0</v>
      </c>
      <c r="T404" s="78">
        <v>96324</v>
      </c>
      <c r="U404" s="112">
        <v>0</v>
      </c>
      <c r="V404" s="112">
        <v>0</v>
      </c>
      <c r="W404" s="78" t="s">
        <v>233</v>
      </c>
    </row>
    <row r="405" spans="1:23" s="115" customFormat="1" ht="14.45" customHeight="1" x14ac:dyDescent="0.2">
      <c r="A405" s="78" t="s">
        <v>232</v>
      </c>
      <c r="B405" s="78" t="s">
        <v>486</v>
      </c>
      <c r="C405" s="78">
        <v>0</v>
      </c>
      <c r="D405" s="78">
        <v>0</v>
      </c>
      <c r="E405" s="78">
        <v>0</v>
      </c>
      <c r="F405" s="78">
        <v>0</v>
      </c>
      <c r="G405" s="78">
        <v>0</v>
      </c>
      <c r="H405" s="78">
        <v>0</v>
      </c>
      <c r="I405" s="78">
        <v>0</v>
      </c>
      <c r="J405" s="78">
        <v>0</v>
      </c>
      <c r="K405" s="78">
        <v>0</v>
      </c>
      <c r="L405" s="78">
        <v>0</v>
      </c>
      <c r="M405" s="78">
        <v>0</v>
      </c>
      <c r="N405" s="78">
        <v>0</v>
      </c>
      <c r="O405" s="78">
        <v>0</v>
      </c>
      <c r="P405" s="78">
        <v>0</v>
      </c>
      <c r="Q405" s="78">
        <v>0</v>
      </c>
      <c r="R405" s="78">
        <v>0</v>
      </c>
      <c r="S405" s="78">
        <v>0</v>
      </c>
      <c r="T405" s="78">
        <v>2724</v>
      </c>
      <c r="U405" s="112">
        <v>0</v>
      </c>
      <c r="V405" s="112">
        <v>0</v>
      </c>
      <c r="W405" s="78" t="s">
        <v>233</v>
      </c>
    </row>
    <row r="406" spans="1:23" s="115" customFormat="1" ht="14.45" customHeight="1" x14ac:dyDescent="0.2">
      <c r="A406" s="78" t="s">
        <v>234</v>
      </c>
      <c r="B406" s="78" t="s">
        <v>487</v>
      </c>
      <c r="C406" s="78">
        <v>18</v>
      </c>
      <c r="D406" s="78">
        <v>0</v>
      </c>
      <c r="E406" s="78">
        <v>0</v>
      </c>
      <c r="F406" s="78">
        <v>0</v>
      </c>
      <c r="G406" s="78">
        <v>0</v>
      </c>
      <c r="H406" s="78">
        <v>0</v>
      </c>
      <c r="I406" s="78">
        <v>0</v>
      </c>
      <c r="J406" s="78">
        <v>0</v>
      </c>
      <c r="K406" s="78">
        <v>0</v>
      </c>
      <c r="L406" s="78">
        <v>0</v>
      </c>
      <c r="M406" s="78">
        <v>0</v>
      </c>
      <c r="N406" s="78">
        <v>0</v>
      </c>
      <c r="O406" s="78">
        <v>0</v>
      </c>
      <c r="P406" s="78">
        <v>18</v>
      </c>
      <c r="Q406" s="78">
        <v>0</v>
      </c>
      <c r="R406" s="78">
        <v>0</v>
      </c>
      <c r="S406" s="78">
        <v>18</v>
      </c>
      <c r="T406" s="78">
        <v>3298</v>
      </c>
      <c r="U406" s="112">
        <v>5.4578532443905403E-3</v>
      </c>
      <c r="V406" s="112">
        <v>5.4578532443905403E-3</v>
      </c>
      <c r="W406" s="78" t="s">
        <v>235</v>
      </c>
    </row>
    <row r="407" spans="1:23" s="115" customFormat="1" ht="14.45" customHeight="1" x14ac:dyDescent="0.2">
      <c r="A407" s="78" t="s">
        <v>234</v>
      </c>
      <c r="B407" s="78" t="s">
        <v>489</v>
      </c>
      <c r="C407" s="78">
        <v>0</v>
      </c>
      <c r="D407" s="78">
        <v>0</v>
      </c>
      <c r="E407" s="78">
        <v>0</v>
      </c>
      <c r="F407" s="78">
        <v>0</v>
      </c>
      <c r="G407" s="78">
        <v>0</v>
      </c>
      <c r="H407" s="78">
        <v>0</v>
      </c>
      <c r="I407" s="78">
        <v>0</v>
      </c>
      <c r="J407" s="78">
        <v>0</v>
      </c>
      <c r="K407" s="78">
        <v>0</v>
      </c>
      <c r="L407" s="78">
        <v>0</v>
      </c>
      <c r="M407" s="78">
        <v>0</v>
      </c>
      <c r="N407" s="78">
        <v>0</v>
      </c>
      <c r="O407" s="78">
        <v>0</v>
      </c>
      <c r="P407" s="78">
        <v>0</v>
      </c>
      <c r="Q407" s="78">
        <v>0</v>
      </c>
      <c r="R407" s="78">
        <v>0</v>
      </c>
      <c r="S407" s="78">
        <v>0</v>
      </c>
      <c r="T407" s="78">
        <v>95000</v>
      </c>
      <c r="U407" s="112">
        <v>0</v>
      </c>
      <c r="V407" s="112">
        <v>0</v>
      </c>
      <c r="W407" s="78" t="s">
        <v>235</v>
      </c>
    </row>
    <row r="408" spans="1:23" s="115" customFormat="1" ht="14.45" customHeight="1" x14ac:dyDescent="0.2">
      <c r="A408" s="78" t="s">
        <v>234</v>
      </c>
      <c r="B408" s="78" t="s">
        <v>491</v>
      </c>
      <c r="C408" s="78">
        <v>1736</v>
      </c>
      <c r="D408" s="78">
        <v>69</v>
      </c>
      <c r="E408" s="78">
        <v>165</v>
      </c>
      <c r="F408" s="78">
        <v>119</v>
      </c>
      <c r="G408" s="78">
        <v>353</v>
      </c>
      <c r="H408" s="78">
        <v>448</v>
      </c>
      <c r="I408" s="78">
        <v>64</v>
      </c>
      <c r="J408" s="78">
        <v>0</v>
      </c>
      <c r="K408" s="78">
        <v>865</v>
      </c>
      <c r="L408" s="78">
        <v>75</v>
      </c>
      <c r="M408" s="78">
        <v>164</v>
      </c>
      <c r="N408" s="78">
        <v>138</v>
      </c>
      <c r="O408" s="78">
        <v>377</v>
      </c>
      <c r="P408" s="78">
        <v>410</v>
      </c>
      <c r="Q408" s="78">
        <v>84</v>
      </c>
      <c r="R408" s="78">
        <v>0</v>
      </c>
      <c r="S408" s="78">
        <v>871</v>
      </c>
      <c r="T408" s="78">
        <v>1736</v>
      </c>
      <c r="U408" s="112">
        <v>1</v>
      </c>
      <c r="V408" s="112">
        <v>1</v>
      </c>
      <c r="W408" s="78" t="s">
        <v>235</v>
      </c>
    </row>
    <row r="409" spans="1:23" s="115" customFormat="1" ht="14.45" customHeight="1" x14ac:dyDescent="0.2">
      <c r="A409" s="78" t="s">
        <v>234</v>
      </c>
      <c r="B409" s="78" t="s">
        <v>486</v>
      </c>
      <c r="C409" s="78">
        <v>1284</v>
      </c>
      <c r="D409" s="78">
        <v>46</v>
      </c>
      <c r="E409" s="78">
        <v>93</v>
      </c>
      <c r="F409" s="78">
        <v>109</v>
      </c>
      <c r="G409" s="78">
        <v>248</v>
      </c>
      <c r="H409" s="78">
        <v>316</v>
      </c>
      <c r="I409" s="78">
        <v>35</v>
      </c>
      <c r="J409" s="78">
        <v>0</v>
      </c>
      <c r="K409" s="78">
        <v>599</v>
      </c>
      <c r="L409" s="78">
        <v>35</v>
      </c>
      <c r="M409" s="78">
        <v>113</v>
      </c>
      <c r="N409" s="78">
        <v>120</v>
      </c>
      <c r="O409" s="78">
        <v>268</v>
      </c>
      <c r="P409" s="78">
        <v>372</v>
      </c>
      <c r="Q409" s="78">
        <v>45</v>
      </c>
      <c r="R409" s="78">
        <v>0</v>
      </c>
      <c r="S409" s="78">
        <v>685</v>
      </c>
      <c r="T409" s="78">
        <v>10523</v>
      </c>
      <c r="U409" s="112">
        <v>0.122018435807279</v>
      </c>
      <c r="V409" s="112">
        <v>0.122018435807279</v>
      </c>
      <c r="W409" s="78" t="s">
        <v>235</v>
      </c>
    </row>
    <row r="410" spans="1:23" s="115" customFormat="1" ht="14.45" customHeight="1" x14ac:dyDescent="0.2">
      <c r="A410" s="78" t="s">
        <v>236</v>
      </c>
      <c r="B410" s="78" t="s">
        <v>487</v>
      </c>
      <c r="C410" s="78">
        <v>1593</v>
      </c>
      <c r="D410" s="78">
        <v>37</v>
      </c>
      <c r="E410" s="78">
        <v>56</v>
      </c>
      <c r="F410" s="78">
        <v>59</v>
      </c>
      <c r="G410" s="78">
        <v>152</v>
      </c>
      <c r="H410" s="78">
        <v>464</v>
      </c>
      <c r="I410" s="78">
        <v>34</v>
      </c>
      <c r="J410" s="78">
        <v>5</v>
      </c>
      <c r="K410" s="78">
        <v>655</v>
      </c>
      <c r="L410" s="78">
        <v>45</v>
      </c>
      <c r="M410" s="78">
        <v>62</v>
      </c>
      <c r="N410" s="78">
        <v>55</v>
      </c>
      <c r="O410" s="78">
        <v>162</v>
      </c>
      <c r="P410" s="78">
        <v>750</v>
      </c>
      <c r="Q410" s="78">
        <v>26</v>
      </c>
      <c r="R410" s="78">
        <v>0</v>
      </c>
      <c r="S410" s="78">
        <v>938</v>
      </c>
      <c r="T410" s="78">
        <v>1598</v>
      </c>
      <c r="U410" s="112">
        <v>0.99374217772215301</v>
      </c>
      <c r="V410" s="112">
        <v>0.996871088861076</v>
      </c>
      <c r="W410" s="78" t="s">
        <v>237</v>
      </c>
    </row>
    <row r="411" spans="1:23" s="115" customFormat="1" ht="14.45" customHeight="1" x14ac:dyDescent="0.2">
      <c r="A411" s="78" t="s">
        <v>236</v>
      </c>
      <c r="B411" s="78" t="s">
        <v>486</v>
      </c>
      <c r="C411" s="78">
        <v>5223</v>
      </c>
      <c r="D411" s="78">
        <v>46</v>
      </c>
      <c r="E411" s="78">
        <v>278</v>
      </c>
      <c r="F411" s="78">
        <v>202</v>
      </c>
      <c r="G411" s="78">
        <v>526</v>
      </c>
      <c r="H411" s="78">
        <v>1842</v>
      </c>
      <c r="I411" s="78">
        <v>12</v>
      </c>
      <c r="J411" s="78">
        <v>0</v>
      </c>
      <c r="K411" s="78">
        <v>2380</v>
      </c>
      <c r="L411" s="78">
        <v>42</v>
      </c>
      <c r="M411" s="78">
        <v>268</v>
      </c>
      <c r="N411" s="78">
        <v>224</v>
      </c>
      <c r="O411" s="78">
        <v>534</v>
      </c>
      <c r="P411" s="78">
        <v>2309</v>
      </c>
      <c r="Q411" s="78">
        <v>0</v>
      </c>
      <c r="R411" s="78">
        <v>0</v>
      </c>
      <c r="S411" s="78">
        <v>2843</v>
      </c>
      <c r="T411" s="78">
        <v>5991</v>
      </c>
      <c r="U411" s="112">
        <v>0.87180771156735104</v>
      </c>
      <c r="V411" s="112">
        <v>0.87180771156735104</v>
      </c>
      <c r="W411" s="78" t="s">
        <v>237</v>
      </c>
    </row>
    <row r="412" spans="1:23" s="115" customFormat="1" ht="14.45" customHeight="1" x14ac:dyDescent="0.2">
      <c r="A412" s="78" t="s">
        <v>236</v>
      </c>
      <c r="B412" s="78" t="s">
        <v>490</v>
      </c>
      <c r="C412" s="78">
        <v>5</v>
      </c>
      <c r="D412" s="78">
        <v>0</v>
      </c>
      <c r="E412" s="78">
        <v>0</v>
      </c>
      <c r="F412" s="78">
        <v>5</v>
      </c>
      <c r="G412" s="78">
        <v>5</v>
      </c>
      <c r="H412" s="78">
        <v>0</v>
      </c>
      <c r="I412" s="78">
        <v>0</v>
      </c>
      <c r="J412" s="78">
        <v>0</v>
      </c>
      <c r="K412" s="78">
        <v>5</v>
      </c>
      <c r="L412" s="78">
        <v>0</v>
      </c>
      <c r="M412" s="78">
        <v>0</v>
      </c>
      <c r="N412" s="78">
        <v>0</v>
      </c>
      <c r="O412" s="78">
        <v>0</v>
      </c>
      <c r="P412" s="78">
        <v>0</v>
      </c>
      <c r="Q412" s="78">
        <v>0</v>
      </c>
      <c r="R412" s="78">
        <v>0</v>
      </c>
      <c r="S412" s="78">
        <v>0</v>
      </c>
      <c r="T412" s="78">
        <v>5</v>
      </c>
      <c r="U412" s="112">
        <v>1</v>
      </c>
      <c r="V412" s="112">
        <v>1</v>
      </c>
      <c r="W412" s="78" t="s">
        <v>237</v>
      </c>
    </row>
    <row r="413" spans="1:23" s="115" customFormat="1" ht="14.45" customHeight="1" x14ac:dyDescent="0.2">
      <c r="A413" s="78" t="s">
        <v>238</v>
      </c>
      <c r="B413" s="78" t="s">
        <v>487</v>
      </c>
      <c r="C413" s="78">
        <v>0</v>
      </c>
      <c r="D413" s="78">
        <v>0</v>
      </c>
      <c r="E413" s="78">
        <v>0</v>
      </c>
      <c r="F413" s="78">
        <v>0</v>
      </c>
      <c r="G413" s="78">
        <v>0</v>
      </c>
      <c r="H413" s="78">
        <v>0</v>
      </c>
      <c r="I413" s="78">
        <v>0</v>
      </c>
      <c r="J413" s="78">
        <v>0</v>
      </c>
      <c r="K413" s="78">
        <v>0</v>
      </c>
      <c r="L413" s="78">
        <v>0</v>
      </c>
      <c r="M413" s="78">
        <v>0</v>
      </c>
      <c r="N413" s="78">
        <v>0</v>
      </c>
      <c r="O413" s="78">
        <v>0</v>
      </c>
      <c r="P413" s="78">
        <v>0</v>
      </c>
      <c r="Q413" s="78">
        <v>0</v>
      </c>
      <c r="R413" s="78">
        <v>0</v>
      </c>
      <c r="S413" s="78">
        <v>0</v>
      </c>
      <c r="T413" s="78">
        <v>508429</v>
      </c>
      <c r="U413" s="112">
        <v>0</v>
      </c>
      <c r="V413" s="112">
        <v>0</v>
      </c>
      <c r="W413" s="78" t="s">
        <v>239</v>
      </c>
    </row>
    <row r="414" spans="1:23" s="115" customFormat="1" ht="14.45" customHeight="1" x14ac:dyDescent="0.2">
      <c r="A414" s="78" t="s">
        <v>238</v>
      </c>
      <c r="B414" s="78" t="s">
        <v>488</v>
      </c>
      <c r="C414" s="78">
        <v>1043622</v>
      </c>
      <c r="D414" s="78">
        <v>56292</v>
      </c>
      <c r="E414" s="78">
        <v>64726</v>
      </c>
      <c r="F414" s="78">
        <v>39223</v>
      </c>
      <c r="G414" s="78">
        <v>160241</v>
      </c>
      <c r="H414" s="78">
        <v>349642</v>
      </c>
      <c r="I414" s="78">
        <v>17858</v>
      </c>
      <c r="J414" s="78">
        <v>0</v>
      </c>
      <c r="K414" s="78">
        <v>527741</v>
      </c>
      <c r="L414" s="78">
        <v>60677</v>
      </c>
      <c r="M414" s="78">
        <v>71725</v>
      </c>
      <c r="N414" s="78">
        <v>40043</v>
      </c>
      <c r="O414" s="78">
        <v>172445</v>
      </c>
      <c r="P414" s="78">
        <v>334753</v>
      </c>
      <c r="Q414" s="78">
        <v>8683</v>
      </c>
      <c r="R414" s="78">
        <v>0</v>
      </c>
      <c r="S414" s="78">
        <v>515881</v>
      </c>
      <c r="T414" s="78">
        <v>1043622</v>
      </c>
      <c r="U414" s="112">
        <v>1</v>
      </c>
      <c r="V414" s="112">
        <v>1</v>
      </c>
      <c r="W414" s="78" t="s">
        <v>239</v>
      </c>
    </row>
    <row r="415" spans="1:23" s="115" customFormat="1" ht="14.45" customHeight="1" x14ac:dyDescent="0.2">
      <c r="A415" s="78" t="s">
        <v>238</v>
      </c>
      <c r="B415" s="78" t="s">
        <v>491</v>
      </c>
      <c r="C415" s="78">
        <v>0</v>
      </c>
      <c r="D415" s="78">
        <v>0</v>
      </c>
      <c r="E415" s="78">
        <v>0</v>
      </c>
      <c r="F415" s="78">
        <v>0</v>
      </c>
      <c r="G415" s="78">
        <v>0</v>
      </c>
      <c r="H415" s="78">
        <v>0</v>
      </c>
      <c r="I415" s="78">
        <v>0</v>
      </c>
      <c r="J415" s="78">
        <v>0</v>
      </c>
      <c r="K415" s="78">
        <v>0</v>
      </c>
      <c r="L415" s="78">
        <v>0</v>
      </c>
      <c r="M415" s="78">
        <v>0</v>
      </c>
      <c r="N415" s="78">
        <v>0</v>
      </c>
      <c r="O415" s="78">
        <v>0</v>
      </c>
      <c r="P415" s="78">
        <v>0</v>
      </c>
      <c r="Q415" s="78">
        <v>0</v>
      </c>
      <c r="R415" s="78">
        <v>0</v>
      </c>
      <c r="S415" s="78">
        <v>0</v>
      </c>
      <c r="T415" s="78">
        <v>18916</v>
      </c>
      <c r="U415" s="112">
        <v>0</v>
      </c>
      <c r="V415" s="112">
        <v>0</v>
      </c>
      <c r="W415" s="78" t="s">
        <v>239</v>
      </c>
    </row>
    <row r="416" spans="1:23" s="115" customFormat="1" ht="14.45" customHeight="1" x14ac:dyDescent="0.2">
      <c r="A416" s="78" t="s">
        <v>238</v>
      </c>
      <c r="B416" s="78" t="s">
        <v>486</v>
      </c>
      <c r="C416" s="78">
        <v>0</v>
      </c>
      <c r="D416" s="78">
        <v>0</v>
      </c>
      <c r="E416" s="78">
        <v>0</v>
      </c>
      <c r="F416" s="78">
        <v>0</v>
      </c>
      <c r="G416" s="78">
        <v>0</v>
      </c>
      <c r="H416" s="78">
        <v>0</v>
      </c>
      <c r="I416" s="78">
        <v>0</v>
      </c>
      <c r="J416" s="78">
        <v>0</v>
      </c>
      <c r="K416" s="78">
        <v>0</v>
      </c>
      <c r="L416" s="78">
        <v>0</v>
      </c>
      <c r="M416" s="78">
        <v>0</v>
      </c>
      <c r="N416" s="78">
        <v>0</v>
      </c>
      <c r="O416" s="78">
        <v>0</v>
      </c>
      <c r="P416" s="78">
        <v>0</v>
      </c>
      <c r="Q416" s="78">
        <v>0</v>
      </c>
      <c r="R416" s="78">
        <v>0</v>
      </c>
      <c r="S416" s="78">
        <v>0</v>
      </c>
      <c r="T416" s="78">
        <v>6712</v>
      </c>
      <c r="U416" s="112">
        <v>0</v>
      </c>
      <c r="V416" s="112">
        <v>0</v>
      </c>
      <c r="W416" s="78" t="s">
        <v>239</v>
      </c>
    </row>
    <row r="417" spans="1:23" s="115" customFormat="1" ht="14.45" customHeight="1" x14ac:dyDescent="0.2">
      <c r="A417" s="78" t="s">
        <v>240</v>
      </c>
      <c r="B417" s="78" t="s">
        <v>487</v>
      </c>
      <c r="C417" s="78">
        <v>1029</v>
      </c>
      <c r="D417" s="78">
        <v>19</v>
      </c>
      <c r="E417" s="78">
        <v>20</v>
      </c>
      <c r="F417" s="78">
        <v>19</v>
      </c>
      <c r="G417" s="78">
        <v>58</v>
      </c>
      <c r="H417" s="78">
        <v>137</v>
      </c>
      <c r="I417" s="78">
        <v>5</v>
      </c>
      <c r="J417" s="78">
        <v>0</v>
      </c>
      <c r="K417" s="78">
        <v>200</v>
      </c>
      <c r="L417" s="78">
        <v>5</v>
      </c>
      <c r="M417" s="78">
        <v>13</v>
      </c>
      <c r="N417" s="78">
        <v>10</v>
      </c>
      <c r="O417" s="78">
        <v>28</v>
      </c>
      <c r="P417" s="78">
        <v>764</v>
      </c>
      <c r="Q417" s="78">
        <v>37</v>
      </c>
      <c r="R417" s="78">
        <v>0</v>
      </c>
      <c r="S417" s="78">
        <v>829</v>
      </c>
      <c r="T417" s="78">
        <v>1029</v>
      </c>
      <c r="U417" s="112">
        <v>1</v>
      </c>
      <c r="V417" s="112">
        <v>1</v>
      </c>
      <c r="W417" s="78" t="s">
        <v>241</v>
      </c>
    </row>
    <row r="418" spans="1:23" s="115" customFormat="1" ht="14.45" customHeight="1" x14ac:dyDescent="0.2">
      <c r="A418" s="78" t="s">
        <v>240</v>
      </c>
      <c r="B418" s="78" t="s">
        <v>493</v>
      </c>
      <c r="C418" s="78">
        <v>137352</v>
      </c>
      <c r="D418" s="78">
        <v>0</v>
      </c>
      <c r="E418" s="78">
        <v>0</v>
      </c>
      <c r="F418" s="78">
        <v>0</v>
      </c>
      <c r="G418" s="78">
        <v>0</v>
      </c>
      <c r="H418" s="78">
        <v>0</v>
      </c>
      <c r="I418" s="78">
        <v>0</v>
      </c>
      <c r="J418" s="78">
        <v>70050</v>
      </c>
      <c r="K418" s="78">
        <v>70050</v>
      </c>
      <c r="L418" s="78">
        <v>0</v>
      </c>
      <c r="M418" s="78">
        <v>0</v>
      </c>
      <c r="N418" s="78">
        <v>0</v>
      </c>
      <c r="O418" s="78">
        <v>0</v>
      </c>
      <c r="P418" s="78">
        <v>0</v>
      </c>
      <c r="Q418" s="78">
        <v>0</v>
      </c>
      <c r="R418" s="78">
        <v>67302</v>
      </c>
      <c r="S418" s="78">
        <v>67302</v>
      </c>
      <c r="T418" s="78">
        <v>137352</v>
      </c>
      <c r="U418" s="112">
        <v>0</v>
      </c>
      <c r="V418" s="112">
        <v>1</v>
      </c>
      <c r="W418" s="78" t="s">
        <v>241</v>
      </c>
    </row>
    <row r="419" spans="1:23" s="115" customFormat="1" ht="14.45" customHeight="1" x14ac:dyDescent="0.2">
      <c r="A419" s="78" t="s">
        <v>240</v>
      </c>
      <c r="B419" s="78" t="s">
        <v>489</v>
      </c>
      <c r="C419" s="78">
        <v>108237</v>
      </c>
      <c r="D419" s="78">
        <v>0</v>
      </c>
      <c r="E419" s="78">
        <v>0</v>
      </c>
      <c r="F419" s="78">
        <v>0</v>
      </c>
      <c r="G419" s="78">
        <v>0</v>
      </c>
      <c r="H419" s="78">
        <v>0</v>
      </c>
      <c r="I419" s="78">
        <v>0</v>
      </c>
      <c r="J419" s="78">
        <v>55202</v>
      </c>
      <c r="K419" s="78">
        <v>55202</v>
      </c>
      <c r="L419" s="78">
        <v>0</v>
      </c>
      <c r="M419" s="78">
        <v>0</v>
      </c>
      <c r="N419" s="78">
        <v>0</v>
      </c>
      <c r="O419" s="78">
        <v>0</v>
      </c>
      <c r="P419" s="78">
        <v>0</v>
      </c>
      <c r="Q419" s="78">
        <v>0</v>
      </c>
      <c r="R419" s="78">
        <v>53035</v>
      </c>
      <c r="S419" s="78">
        <v>53035</v>
      </c>
      <c r="T419" s="78">
        <v>108237</v>
      </c>
      <c r="U419" s="112">
        <v>0</v>
      </c>
      <c r="V419" s="112">
        <v>1</v>
      </c>
      <c r="W419" s="78" t="s">
        <v>241</v>
      </c>
    </row>
    <row r="420" spans="1:23" s="115" customFormat="1" ht="14.45" customHeight="1" x14ac:dyDescent="0.2">
      <c r="A420" s="78" t="s">
        <v>240</v>
      </c>
      <c r="B420" s="78" t="s">
        <v>491</v>
      </c>
      <c r="C420" s="78">
        <v>0</v>
      </c>
      <c r="D420" s="78">
        <v>0</v>
      </c>
      <c r="E420" s="78">
        <v>0</v>
      </c>
      <c r="F420" s="78">
        <v>0</v>
      </c>
      <c r="G420" s="78">
        <v>0</v>
      </c>
      <c r="H420" s="78">
        <v>0</v>
      </c>
      <c r="I420" s="78">
        <v>0</v>
      </c>
      <c r="J420" s="78">
        <v>0</v>
      </c>
      <c r="K420" s="78">
        <v>0</v>
      </c>
      <c r="L420" s="78">
        <v>0</v>
      </c>
      <c r="M420" s="78">
        <v>0</v>
      </c>
      <c r="N420" s="78">
        <v>0</v>
      </c>
      <c r="O420" s="78">
        <v>0</v>
      </c>
      <c r="P420" s="78">
        <v>0</v>
      </c>
      <c r="Q420" s="78">
        <v>0</v>
      </c>
      <c r="R420" s="78">
        <v>0</v>
      </c>
      <c r="S420" s="78">
        <v>0</v>
      </c>
      <c r="T420" s="78">
        <v>126228</v>
      </c>
      <c r="U420" s="112">
        <v>0</v>
      </c>
      <c r="V420" s="112">
        <v>0</v>
      </c>
      <c r="W420" s="78" t="s">
        <v>241</v>
      </c>
    </row>
    <row r="421" spans="1:23" s="115" customFormat="1" ht="14.45" customHeight="1" x14ac:dyDescent="0.2">
      <c r="A421" s="78" t="s">
        <v>240</v>
      </c>
      <c r="B421" s="78" t="s">
        <v>486</v>
      </c>
      <c r="C421" s="78">
        <v>934</v>
      </c>
      <c r="D421" s="78">
        <v>10</v>
      </c>
      <c r="E421" s="78">
        <v>32</v>
      </c>
      <c r="F421" s="78">
        <v>27</v>
      </c>
      <c r="G421" s="78">
        <v>69</v>
      </c>
      <c r="H421" s="78">
        <v>196</v>
      </c>
      <c r="I421" s="78">
        <v>0</v>
      </c>
      <c r="J421" s="78">
        <v>0</v>
      </c>
      <c r="K421" s="78">
        <v>265</v>
      </c>
      <c r="L421" s="78">
        <v>0</v>
      </c>
      <c r="M421" s="78">
        <v>17</v>
      </c>
      <c r="N421" s="78">
        <v>27</v>
      </c>
      <c r="O421" s="78">
        <v>44</v>
      </c>
      <c r="P421" s="78">
        <v>574</v>
      </c>
      <c r="Q421" s="78">
        <v>51</v>
      </c>
      <c r="R421" s="78">
        <v>0</v>
      </c>
      <c r="S421" s="78">
        <v>669</v>
      </c>
      <c r="T421" s="78">
        <v>934</v>
      </c>
      <c r="U421" s="112">
        <v>1</v>
      </c>
      <c r="V421" s="112">
        <v>1</v>
      </c>
      <c r="W421" s="78" t="s">
        <v>241</v>
      </c>
    </row>
    <row r="422" spans="1:23" s="115" customFormat="1" ht="14.45" customHeight="1" x14ac:dyDescent="0.2">
      <c r="A422" s="78" t="s">
        <v>240</v>
      </c>
      <c r="B422" s="78" t="s">
        <v>490</v>
      </c>
      <c r="C422" s="78">
        <v>0</v>
      </c>
      <c r="D422" s="78">
        <v>0</v>
      </c>
      <c r="E422" s="78">
        <v>0</v>
      </c>
      <c r="F422" s="78">
        <v>0</v>
      </c>
      <c r="G422" s="78">
        <v>0</v>
      </c>
      <c r="H422" s="78">
        <v>0</v>
      </c>
      <c r="I422" s="78">
        <v>0</v>
      </c>
      <c r="J422" s="78">
        <v>0</v>
      </c>
      <c r="K422" s="78">
        <v>0</v>
      </c>
      <c r="L422" s="78">
        <v>0</v>
      </c>
      <c r="M422" s="78">
        <v>0</v>
      </c>
      <c r="N422" s="78">
        <v>0</v>
      </c>
      <c r="O422" s="78">
        <v>0</v>
      </c>
      <c r="P422" s="78">
        <v>0</v>
      </c>
      <c r="Q422" s="78">
        <v>0</v>
      </c>
      <c r="R422" s="78">
        <v>0</v>
      </c>
      <c r="S422" s="78">
        <v>0</v>
      </c>
      <c r="T422" s="78">
        <v>18</v>
      </c>
      <c r="U422" s="112">
        <v>0</v>
      </c>
      <c r="V422" s="112">
        <v>0</v>
      </c>
      <c r="W422" s="78" t="s">
        <v>241</v>
      </c>
    </row>
    <row r="423" spans="1:23" s="115" customFormat="1" ht="14.45" customHeight="1" x14ac:dyDescent="0.2">
      <c r="A423" s="78" t="s">
        <v>242</v>
      </c>
      <c r="B423" s="78" t="s">
        <v>487</v>
      </c>
      <c r="C423" s="78">
        <v>0</v>
      </c>
      <c r="D423" s="78">
        <v>0</v>
      </c>
      <c r="E423" s="78">
        <v>0</v>
      </c>
      <c r="F423" s="78">
        <v>0</v>
      </c>
      <c r="G423" s="78">
        <v>0</v>
      </c>
      <c r="H423" s="78">
        <v>0</v>
      </c>
      <c r="I423" s="78">
        <v>0</v>
      </c>
      <c r="J423" s="78">
        <v>0</v>
      </c>
      <c r="K423" s="78">
        <v>0</v>
      </c>
      <c r="L423" s="78">
        <v>0</v>
      </c>
      <c r="M423" s="78">
        <v>0</v>
      </c>
      <c r="N423" s="78">
        <v>0</v>
      </c>
      <c r="O423" s="78">
        <v>0</v>
      </c>
      <c r="P423" s="78">
        <v>0</v>
      </c>
      <c r="Q423" s="78">
        <v>0</v>
      </c>
      <c r="R423" s="78">
        <v>0</v>
      </c>
      <c r="S423" s="78">
        <v>0</v>
      </c>
      <c r="T423" s="78">
        <v>6989</v>
      </c>
      <c r="U423" s="112">
        <v>0</v>
      </c>
      <c r="V423" s="112">
        <v>0</v>
      </c>
      <c r="W423" s="78" t="s">
        <v>243</v>
      </c>
    </row>
    <row r="424" spans="1:23" s="115" customFormat="1" ht="14.45" customHeight="1" x14ac:dyDescent="0.2">
      <c r="A424" s="78" t="s">
        <v>242</v>
      </c>
      <c r="B424" s="78" t="s">
        <v>491</v>
      </c>
      <c r="C424" s="78">
        <v>0</v>
      </c>
      <c r="D424" s="78">
        <v>0</v>
      </c>
      <c r="E424" s="78">
        <v>0</v>
      </c>
      <c r="F424" s="78">
        <v>0</v>
      </c>
      <c r="G424" s="78">
        <v>0</v>
      </c>
      <c r="H424" s="78">
        <v>0</v>
      </c>
      <c r="I424" s="78">
        <v>0</v>
      </c>
      <c r="J424" s="78">
        <v>0</v>
      </c>
      <c r="K424" s="78">
        <v>0</v>
      </c>
      <c r="L424" s="78">
        <v>0</v>
      </c>
      <c r="M424" s="78">
        <v>0</v>
      </c>
      <c r="N424" s="78">
        <v>0</v>
      </c>
      <c r="O424" s="78">
        <v>0</v>
      </c>
      <c r="P424" s="78">
        <v>0</v>
      </c>
      <c r="Q424" s="78">
        <v>0</v>
      </c>
      <c r="R424" s="78">
        <v>0</v>
      </c>
      <c r="S424" s="78">
        <v>0</v>
      </c>
      <c r="T424" s="78">
        <v>1328</v>
      </c>
      <c r="U424" s="112">
        <v>0</v>
      </c>
      <c r="V424" s="112">
        <v>0</v>
      </c>
      <c r="W424" s="78" t="s">
        <v>243</v>
      </c>
    </row>
    <row r="425" spans="1:23" s="115" customFormat="1" ht="14.45" customHeight="1" x14ac:dyDescent="0.2">
      <c r="A425" s="78" t="s">
        <v>242</v>
      </c>
      <c r="B425" s="78" t="s">
        <v>486</v>
      </c>
      <c r="C425" s="78">
        <v>0</v>
      </c>
      <c r="D425" s="78">
        <v>0</v>
      </c>
      <c r="E425" s="78">
        <v>0</v>
      </c>
      <c r="F425" s="78">
        <v>0</v>
      </c>
      <c r="G425" s="78">
        <v>0</v>
      </c>
      <c r="H425" s="78">
        <v>0</v>
      </c>
      <c r="I425" s="78">
        <v>0</v>
      </c>
      <c r="J425" s="78">
        <v>0</v>
      </c>
      <c r="K425" s="78">
        <v>0</v>
      </c>
      <c r="L425" s="78">
        <v>0</v>
      </c>
      <c r="M425" s="78">
        <v>0</v>
      </c>
      <c r="N425" s="78">
        <v>0</v>
      </c>
      <c r="O425" s="78">
        <v>0</v>
      </c>
      <c r="P425" s="78">
        <v>0</v>
      </c>
      <c r="Q425" s="78">
        <v>0</v>
      </c>
      <c r="R425" s="78">
        <v>0</v>
      </c>
      <c r="S425" s="78">
        <v>0</v>
      </c>
      <c r="T425" s="78">
        <v>971478</v>
      </c>
      <c r="U425" s="112">
        <v>0</v>
      </c>
      <c r="V425" s="112">
        <v>0</v>
      </c>
      <c r="W425" s="78" t="s">
        <v>243</v>
      </c>
    </row>
    <row r="426" spans="1:23" s="115" customFormat="1" ht="14.45" customHeight="1" x14ac:dyDescent="0.2">
      <c r="A426" s="78" t="s">
        <v>244</v>
      </c>
      <c r="B426" s="78" t="s">
        <v>487</v>
      </c>
      <c r="C426" s="78">
        <v>1267</v>
      </c>
      <c r="D426" s="78">
        <v>0</v>
      </c>
      <c r="E426" s="78">
        <v>0</v>
      </c>
      <c r="F426" s="78">
        <v>0</v>
      </c>
      <c r="G426" s="78">
        <v>0</v>
      </c>
      <c r="H426" s="78">
        <v>0</v>
      </c>
      <c r="I426" s="78">
        <v>0</v>
      </c>
      <c r="J426" s="78">
        <v>407</v>
      </c>
      <c r="K426" s="78">
        <v>407</v>
      </c>
      <c r="L426" s="78">
        <v>0</v>
      </c>
      <c r="M426" s="78">
        <v>0</v>
      </c>
      <c r="N426" s="78">
        <v>0</v>
      </c>
      <c r="O426" s="78">
        <v>0</v>
      </c>
      <c r="P426" s="78">
        <v>0</v>
      </c>
      <c r="Q426" s="78">
        <v>0</v>
      </c>
      <c r="R426" s="78">
        <v>860</v>
      </c>
      <c r="S426" s="78">
        <v>860</v>
      </c>
      <c r="T426" s="78">
        <v>1267</v>
      </c>
      <c r="U426" s="112">
        <v>0</v>
      </c>
      <c r="V426" s="112">
        <v>1</v>
      </c>
      <c r="W426" s="78" t="s">
        <v>245</v>
      </c>
    </row>
    <row r="427" spans="1:23" s="115" customFormat="1" ht="14.45" customHeight="1" x14ac:dyDescent="0.2">
      <c r="A427" s="78" t="s">
        <v>244</v>
      </c>
      <c r="B427" s="78" t="s">
        <v>486</v>
      </c>
      <c r="C427" s="78">
        <v>62807</v>
      </c>
      <c r="D427" s="78">
        <v>164</v>
      </c>
      <c r="E427" s="78">
        <v>1996</v>
      </c>
      <c r="F427" s="78">
        <v>6867</v>
      </c>
      <c r="G427" s="78">
        <v>9027</v>
      </c>
      <c r="H427" s="78">
        <v>14713</v>
      </c>
      <c r="I427" s="78">
        <v>7872</v>
      </c>
      <c r="J427" s="78">
        <v>0</v>
      </c>
      <c r="K427" s="78">
        <v>31612</v>
      </c>
      <c r="L427" s="78">
        <v>214</v>
      </c>
      <c r="M427" s="78">
        <v>2004</v>
      </c>
      <c r="N427" s="78">
        <v>6877</v>
      </c>
      <c r="O427" s="78">
        <v>9095</v>
      </c>
      <c r="P427" s="78">
        <v>14677</v>
      </c>
      <c r="Q427" s="78">
        <v>7423</v>
      </c>
      <c r="R427" s="78">
        <v>0</v>
      </c>
      <c r="S427" s="78">
        <v>31195</v>
      </c>
      <c r="T427" s="78">
        <v>62807</v>
      </c>
      <c r="U427" s="112">
        <v>1</v>
      </c>
      <c r="V427" s="112">
        <v>1</v>
      </c>
      <c r="W427" s="78" t="s">
        <v>245</v>
      </c>
    </row>
    <row r="428" spans="1:23" s="115" customFormat="1" ht="14.45" customHeight="1" x14ac:dyDescent="0.2">
      <c r="A428" s="78" t="s">
        <v>246</v>
      </c>
      <c r="B428" s="78" t="s">
        <v>487</v>
      </c>
      <c r="C428" s="78">
        <v>140</v>
      </c>
      <c r="D428" s="78">
        <v>0</v>
      </c>
      <c r="E428" s="78">
        <v>5</v>
      </c>
      <c r="F428" s="78">
        <v>10</v>
      </c>
      <c r="G428" s="78">
        <v>15</v>
      </c>
      <c r="H428" s="78">
        <v>45</v>
      </c>
      <c r="I428" s="78">
        <v>6</v>
      </c>
      <c r="J428" s="78">
        <v>0</v>
      </c>
      <c r="K428" s="78">
        <v>66</v>
      </c>
      <c r="L428" s="78">
        <v>0</v>
      </c>
      <c r="M428" s="78">
        <v>16</v>
      </c>
      <c r="N428" s="78">
        <v>12</v>
      </c>
      <c r="O428" s="78">
        <v>28</v>
      </c>
      <c r="P428" s="78">
        <v>40</v>
      </c>
      <c r="Q428" s="78">
        <v>6</v>
      </c>
      <c r="R428" s="78">
        <v>0</v>
      </c>
      <c r="S428" s="78">
        <v>74</v>
      </c>
      <c r="T428" s="78">
        <v>140</v>
      </c>
      <c r="U428" s="112">
        <v>1</v>
      </c>
      <c r="V428" s="112">
        <v>1</v>
      </c>
      <c r="W428" s="78" t="s">
        <v>247</v>
      </c>
    </row>
    <row r="429" spans="1:23" s="115" customFormat="1" ht="14.45" customHeight="1" x14ac:dyDescent="0.2">
      <c r="A429" s="78" t="s">
        <v>246</v>
      </c>
      <c r="B429" s="78" t="s">
        <v>486</v>
      </c>
      <c r="C429" s="78">
        <v>197</v>
      </c>
      <c r="D429" s="78">
        <v>0</v>
      </c>
      <c r="E429" s="78">
        <v>12</v>
      </c>
      <c r="F429" s="78">
        <v>16</v>
      </c>
      <c r="G429" s="78">
        <v>28</v>
      </c>
      <c r="H429" s="78">
        <v>58</v>
      </c>
      <c r="I429" s="78">
        <v>14</v>
      </c>
      <c r="J429" s="78">
        <v>0</v>
      </c>
      <c r="K429" s="78">
        <v>100</v>
      </c>
      <c r="L429" s="78">
        <v>12</v>
      </c>
      <c r="M429" s="78">
        <v>25</v>
      </c>
      <c r="N429" s="78">
        <v>6</v>
      </c>
      <c r="O429" s="78">
        <v>43</v>
      </c>
      <c r="P429" s="78">
        <v>54</v>
      </c>
      <c r="Q429" s="78">
        <v>0</v>
      </c>
      <c r="R429" s="78">
        <v>0</v>
      </c>
      <c r="S429" s="78">
        <v>97</v>
      </c>
      <c r="T429" s="78">
        <v>197</v>
      </c>
      <c r="U429" s="112">
        <v>1</v>
      </c>
      <c r="V429" s="112">
        <v>1</v>
      </c>
      <c r="W429" s="78" t="s">
        <v>247</v>
      </c>
    </row>
    <row r="430" spans="1:23" s="115" customFormat="1" ht="14.45" customHeight="1" x14ac:dyDescent="0.2">
      <c r="A430" s="78" t="s">
        <v>246</v>
      </c>
      <c r="B430" s="78" t="s">
        <v>490</v>
      </c>
      <c r="C430" s="78">
        <v>0</v>
      </c>
      <c r="D430" s="78">
        <v>0</v>
      </c>
      <c r="E430" s="78">
        <v>0</v>
      </c>
      <c r="F430" s="78">
        <v>0</v>
      </c>
      <c r="G430" s="78">
        <v>0</v>
      </c>
      <c r="H430" s="78">
        <v>0</v>
      </c>
      <c r="I430" s="78">
        <v>0</v>
      </c>
      <c r="J430" s="78">
        <v>0</v>
      </c>
      <c r="K430" s="78">
        <v>0</v>
      </c>
      <c r="L430" s="78">
        <v>0</v>
      </c>
      <c r="M430" s="78">
        <v>0</v>
      </c>
      <c r="N430" s="78">
        <v>0</v>
      </c>
      <c r="O430" s="78">
        <v>0</v>
      </c>
      <c r="P430" s="78">
        <v>0</v>
      </c>
      <c r="Q430" s="78">
        <v>0</v>
      </c>
      <c r="R430" s="78">
        <v>0</v>
      </c>
      <c r="S430" s="78">
        <v>0</v>
      </c>
      <c r="T430" s="78">
        <v>1200</v>
      </c>
      <c r="U430" s="112">
        <v>0</v>
      </c>
      <c r="V430" s="112">
        <v>0</v>
      </c>
      <c r="W430" s="78" t="s">
        <v>247</v>
      </c>
    </row>
    <row r="431" spans="1:23" s="115" customFormat="1" ht="14.45" customHeight="1" x14ac:dyDescent="0.2">
      <c r="A431" s="78" t="s">
        <v>248</v>
      </c>
      <c r="B431" s="78" t="s">
        <v>487</v>
      </c>
      <c r="C431" s="78">
        <v>0</v>
      </c>
      <c r="D431" s="78">
        <v>0</v>
      </c>
      <c r="E431" s="78">
        <v>0</v>
      </c>
      <c r="F431" s="78">
        <v>0</v>
      </c>
      <c r="G431" s="78">
        <v>0</v>
      </c>
      <c r="H431" s="78">
        <v>0</v>
      </c>
      <c r="I431" s="78">
        <v>0</v>
      </c>
      <c r="J431" s="78">
        <v>0</v>
      </c>
      <c r="K431" s="78">
        <v>0</v>
      </c>
      <c r="L431" s="78">
        <v>0</v>
      </c>
      <c r="M431" s="78">
        <v>0</v>
      </c>
      <c r="N431" s="78">
        <v>0</v>
      </c>
      <c r="O431" s="78">
        <v>0</v>
      </c>
      <c r="P431" s="78">
        <v>0</v>
      </c>
      <c r="Q431" s="78">
        <v>0</v>
      </c>
      <c r="R431" s="78">
        <v>0</v>
      </c>
      <c r="S431" s="78">
        <v>0</v>
      </c>
      <c r="T431" s="78">
        <v>26738</v>
      </c>
      <c r="U431" s="112">
        <v>0</v>
      </c>
      <c r="V431" s="112">
        <v>0</v>
      </c>
      <c r="W431" s="78" t="s">
        <v>249</v>
      </c>
    </row>
    <row r="432" spans="1:23" s="115" customFormat="1" ht="14.45" customHeight="1" x14ac:dyDescent="0.2">
      <c r="A432" s="78" t="s">
        <v>248</v>
      </c>
      <c r="B432" s="78" t="s">
        <v>486</v>
      </c>
      <c r="C432" s="78">
        <v>0</v>
      </c>
      <c r="D432" s="78">
        <v>0</v>
      </c>
      <c r="E432" s="78">
        <v>0</v>
      </c>
      <c r="F432" s="78">
        <v>0</v>
      </c>
      <c r="G432" s="78">
        <v>0</v>
      </c>
      <c r="H432" s="78">
        <v>0</v>
      </c>
      <c r="I432" s="78">
        <v>0</v>
      </c>
      <c r="J432" s="78">
        <v>0</v>
      </c>
      <c r="K432" s="78">
        <v>0</v>
      </c>
      <c r="L432" s="78">
        <v>0</v>
      </c>
      <c r="M432" s="78">
        <v>0</v>
      </c>
      <c r="N432" s="78">
        <v>0</v>
      </c>
      <c r="O432" s="78">
        <v>0</v>
      </c>
      <c r="P432" s="78">
        <v>0</v>
      </c>
      <c r="Q432" s="78">
        <v>0</v>
      </c>
      <c r="R432" s="78">
        <v>0</v>
      </c>
      <c r="S432" s="78">
        <v>0</v>
      </c>
      <c r="T432" s="78">
        <v>4053</v>
      </c>
      <c r="U432" s="112">
        <v>0</v>
      </c>
      <c r="V432" s="112">
        <v>0</v>
      </c>
      <c r="W432" s="78" t="s">
        <v>249</v>
      </c>
    </row>
    <row r="433" spans="1:23" s="115" customFormat="1" ht="14.45" customHeight="1" x14ac:dyDescent="0.2">
      <c r="A433" s="78" t="s">
        <v>248</v>
      </c>
      <c r="B433" s="78" t="s">
        <v>490</v>
      </c>
      <c r="C433" s="78">
        <v>0</v>
      </c>
      <c r="D433" s="78">
        <v>0</v>
      </c>
      <c r="E433" s="78">
        <v>0</v>
      </c>
      <c r="F433" s="78">
        <v>0</v>
      </c>
      <c r="G433" s="78">
        <v>0</v>
      </c>
      <c r="H433" s="78">
        <v>0</v>
      </c>
      <c r="I433" s="78">
        <v>0</v>
      </c>
      <c r="J433" s="78">
        <v>0</v>
      </c>
      <c r="K433" s="78">
        <v>0</v>
      </c>
      <c r="L433" s="78">
        <v>0</v>
      </c>
      <c r="M433" s="78">
        <v>0</v>
      </c>
      <c r="N433" s="78">
        <v>0</v>
      </c>
      <c r="O433" s="78">
        <v>0</v>
      </c>
      <c r="P433" s="78">
        <v>0</v>
      </c>
      <c r="Q433" s="78">
        <v>0</v>
      </c>
      <c r="R433" s="78">
        <v>0</v>
      </c>
      <c r="S433" s="78">
        <v>0</v>
      </c>
      <c r="T433" s="78">
        <v>231</v>
      </c>
      <c r="U433" s="112">
        <v>0</v>
      </c>
      <c r="V433" s="112">
        <v>0</v>
      </c>
      <c r="W433" s="78" t="s">
        <v>249</v>
      </c>
    </row>
    <row r="434" spans="1:23" s="115" customFormat="1" ht="14.45" customHeight="1" x14ac:dyDescent="0.2">
      <c r="A434" s="78" t="s">
        <v>250</v>
      </c>
      <c r="B434" s="78" t="s">
        <v>487</v>
      </c>
      <c r="C434" s="78">
        <v>0</v>
      </c>
      <c r="D434" s="78">
        <v>0</v>
      </c>
      <c r="E434" s="78">
        <v>0</v>
      </c>
      <c r="F434" s="78">
        <v>0</v>
      </c>
      <c r="G434" s="78">
        <v>0</v>
      </c>
      <c r="H434" s="78">
        <v>0</v>
      </c>
      <c r="I434" s="78">
        <v>0</v>
      </c>
      <c r="J434" s="78">
        <v>0</v>
      </c>
      <c r="K434" s="78">
        <v>0</v>
      </c>
      <c r="L434" s="78">
        <v>0</v>
      </c>
      <c r="M434" s="78">
        <v>0</v>
      </c>
      <c r="N434" s="78">
        <v>0</v>
      </c>
      <c r="O434" s="78">
        <v>0</v>
      </c>
      <c r="P434" s="78">
        <v>0</v>
      </c>
      <c r="Q434" s="78">
        <v>0</v>
      </c>
      <c r="R434" s="78">
        <v>0</v>
      </c>
      <c r="S434" s="78">
        <v>0</v>
      </c>
      <c r="T434" s="78">
        <v>556</v>
      </c>
      <c r="U434" s="112">
        <v>0</v>
      </c>
      <c r="V434" s="112">
        <v>0</v>
      </c>
      <c r="W434" s="78" t="s">
        <v>251</v>
      </c>
    </row>
    <row r="435" spans="1:23" s="115" customFormat="1" ht="14.45" customHeight="1" x14ac:dyDescent="0.2">
      <c r="A435" s="78" t="s">
        <v>250</v>
      </c>
      <c r="B435" s="78" t="s">
        <v>486</v>
      </c>
      <c r="C435" s="78">
        <v>92028</v>
      </c>
      <c r="D435" s="78">
        <v>0</v>
      </c>
      <c r="E435" s="78">
        <v>0</v>
      </c>
      <c r="F435" s="78">
        <v>0</v>
      </c>
      <c r="G435" s="78">
        <v>0</v>
      </c>
      <c r="H435" s="78">
        <v>0</v>
      </c>
      <c r="I435" s="78">
        <v>0</v>
      </c>
      <c r="J435" s="78">
        <v>54445</v>
      </c>
      <c r="K435" s="78">
        <v>54445</v>
      </c>
      <c r="L435" s="78">
        <v>0</v>
      </c>
      <c r="M435" s="78">
        <v>0</v>
      </c>
      <c r="N435" s="78">
        <v>0</v>
      </c>
      <c r="O435" s="78">
        <v>0</v>
      </c>
      <c r="P435" s="78">
        <v>0</v>
      </c>
      <c r="Q435" s="78">
        <v>0</v>
      </c>
      <c r="R435" s="78">
        <v>37583</v>
      </c>
      <c r="S435" s="78">
        <v>37583</v>
      </c>
      <c r="T435" s="78">
        <v>120947</v>
      </c>
      <c r="U435" s="112">
        <v>0</v>
      </c>
      <c r="V435" s="112">
        <v>0.76089526817531605</v>
      </c>
      <c r="W435" s="78" t="s">
        <v>251</v>
      </c>
    </row>
    <row r="436" spans="1:23" s="115" customFormat="1" ht="14.45" customHeight="1" x14ac:dyDescent="0.2">
      <c r="A436" s="78" t="s">
        <v>250</v>
      </c>
      <c r="B436" s="78" t="s">
        <v>490</v>
      </c>
      <c r="C436" s="78">
        <v>0</v>
      </c>
      <c r="D436" s="78">
        <v>0</v>
      </c>
      <c r="E436" s="78">
        <v>0</v>
      </c>
      <c r="F436" s="78">
        <v>0</v>
      </c>
      <c r="G436" s="78">
        <v>0</v>
      </c>
      <c r="H436" s="78">
        <v>0</v>
      </c>
      <c r="I436" s="78">
        <v>0</v>
      </c>
      <c r="J436" s="78">
        <v>0</v>
      </c>
      <c r="K436" s="78">
        <v>0</v>
      </c>
      <c r="L436" s="78">
        <v>0</v>
      </c>
      <c r="M436" s="78">
        <v>0</v>
      </c>
      <c r="N436" s="78">
        <v>0</v>
      </c>
      <c r="O436" s="78">
        <v>0</v>
      </c>
      <c r="P436" s="78">
        <v>0</v>
      </c>
      <c r="Q436" s="78">
        <v>0</v>
      </c>
      <c r="R436" s="78">
        <v>0</v>
      </c>
      <c r="S436" s="78">
        <v>0</v>
      </c>
      <c r="T436" s="78">
        <v>3267</v>
      </c>
      <c r="U436" s="112">
        <v>0</v>
      </c>
      <c r="V436" s="112">
        <v>0</v>
      </c>
      <c r="W436" s="78" t="s">
        <v>251</v>
      </c>
    </row>
    <row r="437" spans="1:23" s="115" customFormat="1" ht="14.45" customHeight="1" x14ac:dyDescent="0.2">
      <c r="A437" s="78" t="s">
        <v>252</v>
      </c>
      <c r="B437" s="78" t="s">
        <v>487</v>
      </c>
      <c r="C437" s="78">
        <v>0</v>
      </c>
      <c r="D437" s="78">
        <v>0</v>
      </c>
      <c r="E437" s="78">
        <v>0</v>
      </c>
      <c r="F437" s="78">
        <v>0</v>
      </c>
      <c r="G437" s="78">
        <v>0</v>
      </c>
      <c r="H437" s="78">
        <v>0</v>
      </c>
      <c r="I437" s="78">
        <v>0</v>
      </c>
      <c r="J437" s="78">
        <v>0</v>
      </c>
      <c r="K437" s="78">
        <v>0</v>
      </c>
      <c r="L437" s="78">
        <v>0</v>
      </c>
      <c r="M437" s="78">
        <v>0</v>
      </c>
      <c r="N437" s="78">
        <v>0</v>
      </c>
      <c r="O437" s="78">
        <v>0</v>
      </c>
      <c r="P437" s="78">
        <v>0</v>
      </c>
      <c r="Q437" s="78">
        <v>0</v>
      </c>
      <c r="R437" s="78">
        <v>0</v>
      </c>
      <c r="S437" s="78">
        <v>0</v>
      </c>
      <c r="T437" s="78">
        <v>1068</v>
      </c>
      <c r="U437" s="112">
        <v>0</v>
      </c>
      <c r="V437" s="112">
        <v>0</v>
      </c>
      <c r="W437" s="78" t="s">
        <v>253</v>
      </c>
    </row>
    <row r="438" spans="1:23" s="115" customFormat="1" ht="14.45" customHeight="1" x14ac:dyDescent="0.2">
      <c r="A438" s="78" t="s">
        <v>252</v>
      </c>
      <c r="B438" s="78" t="s">
        <v>491</v>
      </c>
      <c r="C438" s="78">
        <v>0</v>
      </c>
      <c r="D438" s="78">
        <v>0</v>
      </c>
      <c r="E438" s="78">
        <v>0</v>
      </c>
      <c r="F438" s="78">
        <v>0</v>
      </c>
      <c r="G438" s="78">
        <v>0</v>
      </c>
      <c r="H438" s="78">
        <v>0</v>
      </c>
      <c r="I438" s="78">
        <v>0</v>
      </c>
      <c r="J438" s="78">
        <v>0</v>
      </c>
      <c r="K438" s="78">
        <v>0</v>
      </c>
      <c r="L438" s="78">
        <v>0</v>
      </c>
      <c r="M438" s="78">
        <v>0</v>
      </c>
      <c r="N438" s="78">
        <v>0</v>
      </c>
      <c r="O438" s="78">
        <v>0</v>
      </c>
      <c r="P438" s="78">
        <v>0</v>
      </c>
      <c r="Q438" s="78">
        <v>0</v>
      </c>
      <c r="R438" s="78">
        <v>0</v>
      </c>
      <c r="S438" s="78">
        <v>0</v>
      </c>
      <c r="T438" s="78">
        <v>159</v>
      </c>
      <c r="U438" s="112">
        <v>0</v>
      </c>
      <c r="V438" s="112">
        <v>0</v>
      </c>
      <c r="W438" s="78" t="s">
        <v>253</v>
      </c>
    </row>
    <row r="439" spans="1:23" s="115" customFormat="1" ht="14.45" customHeight="1" x14ac:dyDescent="0.2">
      <c r="A439" s="78" t="s">
        <v>252</v>
      </c>
      <c r="B439" s="78" t="s">
        <v>486</v>
      </c>
      <c r="C439" s="78">
        <v>87487</v>
      </c>
      <c r="D439" s="78">
        <v>3668</v>
      </c>
      <c r="E439" s="78">
        <v>6034</v>
      </c>
      <c r="F439" s="78">
        <v>3836</v>
      </c>
      <c r="G439" s="78">
        <v>13538</v>
      </c>
      <c r="H439" s="78">
        <v>29736</v>
      </c>
      <c r="I439" s="78">
        <v>5394</v>
      </c>
      <c r="J439" s="78">
        <v>0</v>
      </c>
      <c r="K439" s="78">
        <v>48668</v>
      </c>
      <c r="L439" s="78">
        <v>3857</v>
      </c>
      <c r="M439" s="78">
        <v>6244</v>
      </c>
      <c r="N439" s="78">
        <v>4079</v>
      </c>
      <c r="O439" s="78">
        <v>14180</v>
      </c>
      <c r="P439" s="78">
        <v>22014</v>
      </c>
      <c r="Q439" s="78">
        <v>2625</v>
      </c>
      <c r="R439" s="78">
        <v>0</v>
      </c>
      <c r="S439" s="78">
        <v>38819</v>
      </c>
      <c r="T439" s="78">
        <v>87487</v>
      </c>
      <c r="U439" s="112">
        <v>1</v>
      </c>
      <c r="V439" s="112">
        <v>1</v>
      </c>
      <c r="W439" s="78" t="s">
        <v>253</v>
      </c>
    </row>
    <row r="440" spans="1:23" s="115" customFormat="1" ht="14.45" customHeight="1" x14ac:dyDescent="0.2">
      <c r="A440" s="78" t="s">
        <v>416</v>
      </c>
      <c r="B440" s="78" t="s">
        <v>487</v>
      </c>
      <c r="C440" s="78">
        <v>0</v>
      </c>
      <c r="D440" s="78">
        <v>0</v>
      </c>
      <c r="E440" s="78">
        <v>0</v>
      </c>
      <c r="F440" s="78">
        <v>0</v>
      </c>
      <c r="G440" s="78">
        <v>0</v>
      </c>
      <c r="H440" s="78">
        <v>0</v>
      </c>
      <c r="I440" s="78">
        <v>0</v>
      </c>
      <c r="J440" s="78">
        <v>0</v>
      </c>
      <c r="K440" s="78">
        <v>0</v>
      </c>
      <c r="L440" s="78">
        <v>0</v>
      </c>
      <c r="M440" s="78">
        <v>0</v>
      </c>
      <c r="N440" s="78">
        <v>0</v>
      </c>
      <c r="O440" s="78">
        <v>0</v>
      </c>
      <c r="P440" s="78">
        <v>0</v>
      </c>
      <c r="Q440" s="78">
        <v>0</v>
      </c>
      <c r="R440" s="78">
        <v>0</v>
      </c>
      <c r="S440" s="78">
        <v>0</v>
      </c>
      <c r="T440" s="78">
        <v>891</v>
      </c>
      <c r="U440" s="112">
        <v>0</v>
      </c>
      <c r="V440" s="112">
        <v>0</v>
      </c>
      <c r="W440" s="78" t="s">
        <v>254</v>
      </c>
    </row>
    <row r="441" spans="1:23" s="115" customFormat="1" ht="14.45" customHeight="1" x14ac:dyDescent="0.2">
      <c r="A441" s="78" t="s">
        <v>416</v>
      </c>
      <c r="B441" s="78" t="s">
        <v>492</v>
      </c>
      <c r="C441" s="78">
        <v>0</v>
      </c>
      <c r="D441" s="78">
        <v>0</v>
      </c>
      <c r="E441" s="78">
        <v>0</v>
      </c>
      <c r="F441" s="78">
        <v>0</v>
      </c>
      <c r="G441" s="78">
        <v>0</v>
      </c>
      <c r="H441" s="78">
        <v>0</v>
      </c>
      <c r="I441" s="78">
        <v>0</v>
      </c>
      <c r="J441" s="78">
        <v>0</v>
      </c>
      <c r="K441" s="78">
        <v>0</v>
      </c>
      <c r="L441" s="78">
        <v>0</v>
      </c>
      <c r="M441" s="78">
        <v>0</v>
      </c>
      <c r="N441" s="78">
        <v>0</v>
      </c>
      <c r="O441" s="78">
        <v>0</v>
      </c>
      <c r="P441" s="78">
        <v>0</v>
      </c>
      <c r="Q441" s="78">
        <v>0</v>
      </c>
      <c r="R441" s="78">
        <v>0</v>
      </c>
      <c r="S441" s="78">
        <v>0</v>
      </c>
      <c r="T441" s="78">
        <v>5</v>
      </c>
      <c r="U441" s="112">
        <v>0</v>
      </c>
      <c r="V441" s="112">
        <v>0</v>
      </c>
      <c r="W441" s="78" t="s">
        <v>254</v>
      </c>
    </row>
    <row r="442" spans="1:23" s="115" customFormat="1" ht="14.45" customHeight="1" x14ac:dyDescent="0.2">
      <c r="A442" s="78" t="s">
        <v>416</v>
      </c>
      <c r="B442" s="78" t="s">
        <v>486</v>
      </c>
      <c r="C442" s="78">
        <v>0</v>
      </c>
      <c r="D442" s="78">
        <v>0</v>
      </c>
      <c r="E442" s="78">
        <v>0</v>
      </c>
      <c r="F442" s="78">
        <v>0</v>
      </c>
      <c r="G442" s="78">
        <v>0</v>
      </c>
      <c r="H442" s="78">
        <v>0</v>
      </c>
      <c r="I442" s="78">
        <v>0</v>
      </c>
      <c r="J442" s="78">
        <v>0</v>
      </c>
      <c r="K442" s="78">
        <v>0</v>
      </c>
      <c r="L442" s="78">
        <v>0</v>
      </c>
      <c r="M442" s="78">
        <v>0</v>
      </c>
      <c r="N442" s="78">
        <v>0</v>
      </c>
      <c r="O442" s="78">
        <v>0</v>
      </c>
      <c r="P442" s="78">
        <v>0</v>
      </c>
      <c r="Q442" s="78">
        <v>0</v>
      </c>
      <c r="R442" s="78">
        <v>0</v>
      </c>
      <c r="S442" s="78">
        <v>0</v>
      </c>
      <c r="T442" s="78">
        <v>1230131</v>
      </c>
      <c r="U442" s="112">
        <v>0</v>
      </c>
      <c r="V442" s="112">
        <v>0</v>
      </c>
      <c r="W442" s="78" t="s">
        <v>254</v>
      </c>
    </row>
    <row r="443" spans="1:23" s="115" customFormat="1" ht="14.45" customHeight="1" x14ac:dyDescent="0.2">
      <c r="A443" s="78" t="s">
        <v>416</v>
      </c>
      <c r="B443" s="78" t="s">
        <v>490</v>
      </c>
      <c r="C443" s="78">
        <v>0</v>
      </c>
      <c r="D443" s="78">
        <v>0</v>
      </c>
      <c r="E443" s="78">
        <v>0</v>
      </c>
      <c r="F443" s="78">
        <v>0</v>
      </c>
      <c r="G443" s="78">
        <v>0</v>
      </c>
      <c r="H443" s="78">
        <v>0</v>
      </c>
      <c r="I443" s="78">
        <v>0</v>
      </c>
      <c r="J443" s="78">
        <v>0</v>
      </c>
      <c r="K443" s="78">
        <v>0</v>
      </c>
      <c r="L443" s="78">
        <v>0</v>
      </c>
      <c r="M443" s="78">
        <v>0</v>
      </c>
      <c r="N443" s="78">
        <v>0</v>
      </c>
      <c r="O443" s="78">
        <v>0</v>
      </c>
      <c r="P443" s="78">
        <v>0</v>
      </c>
      <c r="Q443" s="78">
        <v>0</v>
      </c>
      <c r="R443" s="78">
        <v>0</v>
      </c>
      <c r="S443" s="78">
        <v>0</v>
      </c>
      <c r="T443" s="78">
        <v>92173</v>
      </c>
      <c r="U443" s="112">
        <v>0</v>
      </c>
      <c r="V443" s="112">
        <v>0</v>
      </c>
      <c r="W443" s="78" t="s">
        <v>254</v>
      </c>
    </row>
    <row r="444" spans="1:23" s="115" customFormat="1" ht="14.45" customHeight="1" x14ac:dyDescent="0.2">
      <c r="A444" s="78" t="s">
        <v>417</v>
      </c>
      <c r="B444" s="78" t="s">
        <v>487</v>
      </c>
      <c r="C444" s="78">
        <v>12660</v>
      </c>
      <c r="D444" s="78">
        <v>999</v>
      </c>
      <c r="E444" s="78">
        <v>1440</v>
      </c>
      <c r="F444" s="78">
        <v>1219</v>
      </c>
      <c r="G444" s="78">
        <v>3658</v>
      </c>
      <c r="H444" s="78">
        <v>2736</v>
      </c>
      <c r="I444" s="78">
        <v>378</v>
      </c>
      <c r="J444" s="78">
        <v>0</v>
      </c>
      <c r="K444" s="78">
        <v>6772</v>
      </c>
      <c r="L444" s="78">
        <v>1028</v>
      </c>
      <c r="M444" s="78">
        <v>1456</v>
      </c>
      <c r="N444" s="78">
        <v>973</v>
      </c>
      <c r="O444" s="78">
        <v>3457</v>
      </c>
      <c r="P444" s="78">
        <v>2079</v>
      </c>
      <c r="Q444" s="78">
        <v>352</v>
      </c>
      <c r="R444" s="78">
        <v>0</v>
      </c>
      <c r="S444" s="78">
        <v>5888</v>
      </c>
      <c r="T444" s="78">
        <v>12660</v>
      </c>
      <c r="U444" s="112">
        <v>1</v>
      </c>
      <c r="V444" s="112">
        <v>1</v>
      </c>
      <c r="W444" s="78" t="s">
        <v>255</v>
      </c>
    </row>
    <row r="445" spans="1:23" s="115" customFormat="1" ht="14.45" customHeight="1" x14ac:dyDescent="0.2">
      <c r="A445" s="78" t="s">
        <v>417</v>
      </c>
      <c r="B445" s="78" t="s">
        <v>491</v>
      </c>
      <c r="C445" s="78">
        <v>7060</v>
      </c>
      <c r="D445" s="78">
        <v>1175</v>
      </c>
      <c r="E445" s="78">
        <v>1282</v>
      </c>
      <c r="F445" s="78">
        <v>435</v>
      </c>
      <c r="G445" s="78">
        <v>2892</v>
      </c>
      <c r="H445" s="78">
        <v>949</v>
      </c>
      <c r="I445" s="78">
        <v>10</v>
      </c>
      <c r="J445" s="78">
        <v>0</v>
      </c>
      <c r="K445" s="78">
        <v>3851</v>
      </c>
      <c r="L445" s="78">
        <v>1210</v>
      </c>
      <c r="M445" s="78">
        <v>1271</v>
      </c>
      <c r="N445" s="78">
        <v>381</v>
      </c>
      <c r="O445" s="78">
        <v>2862</v>
      </c>
      <c r="P445" s="78">
        <v>342</v>
      </c>
      <c r="Q445" s="78">
        <v>5</v>
      </c>
      <c r="R445" s="78">
        <v>0</v>
      </c>
      <c r="S445" s="78">
        <v>3209</v>
      </c>
      <c r="T445" s="78">
        <v>7060</v>
      </c>
      <c r="U445" s="112">
        <v>1</v>
      </c>
      <c r="V445" s="112">
        <v>1</v>
      </c>
      <c r="W445" s="78" t="s">
        <v>255</v>
      </c>
    </row>
    <row r="446" spans="1:23" s="115" customFormat="1" ht="14.45" customHeight="1" x14ac:dyDescent="0.2">
      <c r="A446" s="78" t="s">
        <v>417</v>
      </c>
      <c r="B446" s="78" t="s">
        <v>492</v>
      </c>
      <c r="C446" s="78">
        <v>1569</v>
      </c>
      <c r="D446" s="78">
        <v>196</v>
      </c>
      <c r="E446" s="78">
        <v>207</v>
      </c>
      <c r="F446" s="78">
        <v>80</v>
      </c>
      <c r="G446" s="78">
        <v>483</v>
      </c>
      <c r="H446" s="78">
        <v>407</v>
      </c>
      <c r="I446" s="78">
        <v>28</v>
      </c>
      <c r="J446" s="78">
        <v>0</v>
      </c>
      <c r="K446" s="78">
        <v>918</v>
      </c>
      <c r="L446" s="78">
        <v>201</v>
      </c>
      <c r="M446" s="78">
        <v>231</v>
      </c>
      <c r="N446" s="78">
        <v>71</v>
      </c>
      <c r="O446" s="78">
        <v>503</v>
      </c>
      <c r="P446" s="78">
        <v>137</v>
      </c>
      <c r="Q446" s="78">
        <v>11</v>
      </c>
      <c r="R446" s="78">
        <v>0</v>
      </c>
      <c r="S446" s="78">
        <v>651</v>
      </c>
      <c r="T446" s="78">
        <v>1961</v>
      </c>
      <c r="U446" s="112">
        <v>0.80010198878123395</v>
      </c>
      <c r="V446" s="112">
        <v>0.80010198878123395</v>
      </c>
      <c r="W446" s="78" t="s">
        <v>255</v>
      </c>
    </row>
    <row r="447" spans="1:23" s="115" customFormat="1" ht="14.45" customHeight="1" x14ac:dyDescent="0.2">
      <c r="A447" s="78" t="s">
        <v>417</v>
      </c>
      <c r="B447" s="78" t="s">
        <v>486</v>
      </c>
      <c r="C447" s="78">
        <v>115643</v>
      </c>
      <c r="D447" s="78">
        <v>7793</v>
      </c>
      <c r="E447" s="78">
        <v>10202</v>
      </c>
      <c r="F447" s="78">
        <v>8038</v>
      </c>
      <c r="G447" s="78">
        <v>26033</v>
      </c>
      <c r="H447" s="78">
        <v>29788</v>
      </c>
      <c r="I447" s="78">
        <v>2930</v>
      </c>
      <c r="J447" s="78">
        <v>0</v>
      </c>
      <c r="K447" s="78">
        <v>58751</v>
      </c>
      <c r="L447" s="78">
        <v>7798</v>
      </c>
      <c r="M447" s="78">
        <v>10429</v>
      </c>
      <c r="N447" s="78">
        <v>8110</v>
      </c>
      <c r="O447" s="78">
        <v>26337</v>
      </c>
      <c r="P447" s="78">
        <v>28232</v>
      </c>
      <c r="Q447" s="78">
        <v>2323</v>
      </c>
      <c r="R447" s="78">
        <v>0</v>
      </c>
      <c r="S447" s="78">
        <v>56892</v>
      </c>
      <c r="T447" s="78">
        <v>115643</v>
      </c>
      <c r="U447" s="112">
        <v>1</v>
      </c>
      <c r="V447" s="112">
        <v>1</v>
      </c>
      <c r="W447" s="78" t="s">
        <v>255</v>
      </c>
    </row>
    <row r="448" spans="1:23" s="115" customFormat="1" ht="14.45" customHeight="1" x14ac:dyDescent="0.2">
      <c r="A448" s="78" t="s">
        <v>417</v>
      </c>
      <c r="B448" s="78" t="s">
        <v>490</v>
      </c>
      <c r="C448" s="78">
        <v>0</v>
      </c>
      <c r="D448" s="78">
        <v>0</v>
      </c>
      <c r="E448" s="78">
        <v>0</v>
      </c>
      <c r="F448" s="78">
        <v>0</v>
      </c>
      <c r="G448" s="78">
        <v>0</v>
      </c>
      <c r="H448" s="78">
        <v>0</v>
      </c>
      <c r="I448" s="78">
        <v>0</v>
      </c>
      <c r="J448" s="78">
        <v>0</v>
      </c>
      <c r="K448" s="78">
        <v>0</v>
      </c>
      <c r="L448" s="78">
        <v>0</v>
      </c>
      <c r="M448" s="78">
        <v>0</v>
      </c>
      <c r="N448" s="78">
        <v>0</v>
      </c>
      <c r="O448" s="78">
        <v>0</v>
      </c>
      <c r="P448" s="78">
        <v>0</v>
      </c>
      <c r="Q448" s="78">
        <v>0</v>
      </c>
      <c r="R448" s="78">
        <v>0</v>
      </c>
      <c r="S448" s="78">
        <v>0</v>
      </c>
      <c r="T448" s="78">
        <v>9500</v>
      </c>
      <c r="U448" s="112">
        <v>0</v>
      </c>
      <c r="V448" s="112">
        <v>0</v>
      </c>
      <c r="W448" s="78" t="s">
        <v>255</v>
      </c>
    </row>
    <row r="449" spans="1:23" s="115" customFormat="1" ht="14.45" customHeight="1" x14ac:dyDescent="0.2">
      <c r="A449" s="78" t="s">
        <v>256</v>
      </c>
      <c r="B449" s="78" t="s">
        <v>486</v>
      </c>
      <c r="C449" s="78">
        <v>19</v>
      </c>
      <c r="D449" s="78">
        <v>0</v>
      </c>
      <c r="E449" s="78">
        <v>5</v>
      </c>
      <c r="F449" s="78">
        <v>0</v>
      </c>
      <c r="G449" s="78">
        <v>5</v>
      </c>
      <c r="H449" s="78">
        <v>5</v>
      </c>
      <c r="I449" s="78">
        <v>0</v>
      </c>
      <c r="J449" s="78">
        <v>0</v>
      </c>
      <c r="K449" s="78">
        <v>10</v>
      </c>
      <c r="L449" s="78">
        <v>0</v>
      </c>
      <c r="M449" s="78">
        <v>0</v>
      </c>
      <c r="N449" s="78">
        <v>0</v>
      </c>
      <c r="O449" s="78">
        <v>0</v>
      </c>
      <c r="P449" s="78">
        <v>9</v>
      </c>
      <c r="Q449" s="78">
        <v>0</v>
      </c>
      <c r="R449" s="78">
        <v>0</v>
      </c>
      <c r="S449" s="78">
        <v>9</v>
      </c>
      <c r="T449" s="78">
        <v>19</v>
      </c>
      <c r="U449" s="112">
        <v>1</v>
      </c>
      <c r="V449" s="112">
        <v>1</v>
      </c>
      <c r="W449" s="78" t="s">
        <v>257</v>
      </c>
    </row>
    <row r="450" spans="1:23" s="115" customFormat="1" ht="14.45" customHeight="1" x14ac:dyDescent="0.2">
      <c r="A450" s="78" t="s">
        <v>418</v>
      </c>
      <c r="B450" s="78" t="s">
        <v>487</v>
      </c>
      <c r="C450" s="78">
        <v>5</v>
      </c>
      <c r="D450" s="78">
        <v>0</v>
      </c>
      <c r="E450" s="78">
        <v>0</v>
      </c>
      <c r="F450" s="78">
        <v>0</v>
      </c>
      <c r="G450" s="78">
        <v>0</v>
      </c>
      <c r="H450" s="78">
        <v>5</v>
      </c>
      <c r="I450" s="78">
        <v>0</v>
      </c>
      <c r="J450" s="78">
        <v>0</v>
      </c>
      <c r="K450" s="78">
        <v>5</v>
      </c>
      <c r="L450" s="78">
        <v>0</v>
      </c>
      <c r="M450" s="78">
        <v>0</v>
      </c>
      <c r="N450" s="78">
        <v>0</v>
      </c>
      <c r="O450" s="78">
        <v>0</v>
      </c>
      <c r="P450" s="78">
        <v>0</v>
      </c>
      <c r="Q450" s="78">
        <v>0</v>
      </c>
      <c r="R450" s="78">
        <v>0</v>
      </c>
      <c r="S450" s="78">
        <v>0</v>
      </c>
      <c r="T450" s="78">
        <v>5</v>
      </c>
      <c r="U450" s="112">
        <v>1</v>
      </c>
      <c r="V450" s="112">
        <v>1</v>
      </c>
      <c r="W450" s="78" t="s">
        <v>419</v>
      </c>
    </row>
    <row r="451" spans="1:23" s="115" customFormat="1" ht="14.45" customHeight="1" x14ac:dyDescent="0.2">
      <c r="A451" s="78" t="s">
        <v>424</v>
      </c>
      <c r="B451" s="78" t="s">
        <v>487</v>
      </c>
      <c r="C451" s="78">
        <v>3945</v>
      </c>
      <c r="D451" s="78">
        <v>38</v>
      </c>
      <c r="E451" s="78">
        <v>444</v>
      </c>
      <c r="F451" s="78">
        <v>346</v>
      </c>
      <c r="G451" s="78">
        <v>828</v>
      </c>
      <c r="H451" s="78">
        <v>971</v>
      </c>
      <c r="I451" s="78">
        <v>84</v>
      </c>
      <c r="J451" s="78">
        <v>0</v>
      </c>
      <c r="K451" s="78">
        <v>1883</v>
      </c>
      <c r="L451" s="78">
        <v>67</v>
      </c>
      <c r="M451" s="78">
        <v>510</v>
      </c>
      <c r="N451" s="78">
        <v>373</v>
      </c>
      <c r="O451" s="78">
        <v>950</v>
      </c>
      <c r="P451" s="78">
        <v>1002</v>
      </c>
      <c r="Q451" s="78">
        <v>110</v>
      </c>
      <c r="R451" s="78">
        <v>0</v>
      </c>
      <c r="S451" s="78">
        <v>2062</v>
      </c>
      <c r="T451" s="78">
        <v>3945</v>
      </c>
      <c r="U451" s="112">
        <v>1</v>
      </c>
      <c r="V451" s="112">
        <v>1</v>
      </c>
      <c r="W451" s="78" t="s">
        <v>260</v>
      </c>
    </row>
    <row r="452" spans="1:23" s="115" customFormat="1" ht="14.45" customHeight="1" x14ac:dyDescent="0.2">
      <c r="A452" s="78" t="s">
        <v>424</v>
      </c>
      <c r="B452" s="78" t="s">
        <v>486</v>
      </c>
      <c r="C452" s="78">
        <v>477</v>
      </c>
      <c r="D452" s="78">
        <v>13</v>
      </c>
      <c r="E452" s="78">
        <v>41</v>
      </c>
      <c r="F452" s="78">
        <v>35</v>
      </c>
      <c r="G452" s="78">
        <v>89</v>
      </c>
      <c r="H452" s="78">
        <v>146</v>
      </c>
      <c r="I452" s="78">
        <v>10</v>
      </c>
      <c r="J452" s="78">
        <v>0</v>
      </c>
      <c r="K452" s="78">
        <v>245</v>
      </c>
      <c r="L452" s="78">
        <v>8</v>
      </c>
      <c r="M452" s="78">
        <v>36</v>
      </c>
      <c r="N452" s="78">
        <v>39</v>
      </c>
      <c r="O452" s="78">
        <v>83</v>
      </c>
      <c r="P452" s="78">
        <v>141</v>
      </c>
      <c r="Q452" s="78">
        <v>8</v>
      </c>
      <c r="R452" s="78">
        <v>0</v>
      </c>
      <c r="S452" s="78">
        <v>232</v>
      </c>
      <c r="T452" s="78">
        <v>477</v>
      </c>
      <c r="U452" s="112">
        <v>1</v>
      </c>
      <c r="V452" s="112">
        <v>1</v>
      </c>
      <c r="W452" s="78" t="s">
        <v>260</v>
      </c>
    </row>
    <row r="453" spans="1:23" s="115" customFormat="1" ht="14.45" customHeight="1" x14ac:dyDescent="0.2">
      <c r="A453" s="78" t="s">
        <v>424</v>
      </c>
      <c r="B453" s="78" t="s">
        <v>490</v>
      </c>
      <c r="C453" s="78">
        <v>0</v>
      </c>
      <c r="D453" s="78">
        <v>0</v>
      </c>
      <c r="E453" s="78">
        <v>0</v>
      </c>
      <c r="F453" s="78">
        <v>0</v>
      </c>
      <c r="G453" s="78">
        <v>0</v>
      </c>
      <c r="H453" s="78">
        <v>0</v>
      </c>
      <c r="I453" s="78">
        <v>0</v>
      </c>
      <c r="J453" s="78">
        <v>0</v>
      </c>
      <c r="K453" s="78">
        <v>0</v>
      </c>
      <c r="L453" s="78">
        <v>0</v>
      </c>
      <c r="M453" s="78">
        <v>0</v>
      </c>
      <c r="N453" s="78">
        <v>0</v>
      </c>
      <c r="O453" s="78">
        <v>0</v>
      </c>
      <c r="P453" s="78">
        <v>0</v>
      </c>
      <c r="Q453" s="78">
        <v>0</v>
      </c>
      <c r="R453" s="78">
        <v>0</v>
      </c>
      <c r="S453" s="78">
        <v>0</v>
      </c>
      <c r="T453" s="78">
        <v>70000</v>
      </c>
      <c r="U453" s="112">
        <v>0</v>
      </c>
      <c r="V453" s="112">
        <v>0</v>
      </c>
      <c r="W453" s="78" t="s">
        <v>260</v>
      </c>
    </row>
    <row r="454" spans="1:23" s="115" customFormat="1" ht="14.45" customHeight="1" x14ac:dyDescent="0.2">
      <c r="A454" s="78" t="s">
        <v>261</v>
      </c>
      <c r="B454" s="78" t="s">
        <v>487</v>
      </c>
      <c r="C454" s="78">
        <v>770</v>
      </c>
      <c r="D454" s="78">
        <v>23</v>
      </c>
      <c r="E454" s="78">
        <v>39</v>
      </c>
      <c r="F454" s="78">
        <v>51</v>
      </c>
      <c r="G454" s="78">
        <v>113</v>
      </c>
      <c r="H454" s="78">
        <v>191</v>
      </c>
      <c r="I454" s="78">
        <v>5</v>
      </c>
      <c r="J454" s="78">
        <v>0</v>
      </c>
      <c r="K454" s="78">
        <v>309</v>
      </c>
      <c r="L454" s="78">
        <v>5</v>
      </c>
      <c r="M454" s="78">
        <v>45</v>
      </c>
      <c r="N454" s="78">
        <v>44</v>
      </c>
      <c r="O454" s="78">
        <v>94</v>
      </c>
      <c r="P454" s="78">
        <v>367</v>
      </c>
      <c r="Q454" s="78">
        <v>0</v>
      </c>
      <c r="R454" s="78">
        <v>0</v>
      </c>
      <c r="S454" s="78">
        <v>461</v>
      </c>
      <c r="T454" s="78">
        <v>770</v>
      </c>
      <c r="U454" s="112">
        <v>1</v>
      </c>
      <c r="V454" s="112">
        <v>1</v>
      </c>
      <c r="W454" s="78" t="s">
        <v>262</v>
      </c>
    </row>
    <row r="455" spans="1:23" s="115" customFormat="1" ht="14.45" customHeight="1" x14ac:dyDescent="0.2">
      <c r="A455" s="78" t="s">
        <v>261</v>
      </c>
      <c r="B455" s="78" t="s">
        <v>486</v>
      </c>
      <c r="C455" s="78">
        <v>11856</v>
      </c>
      <c r="D455" s="78">
        <v>388</v>
      </c>
      <c r="E455" s="78">
        <v>1151</v>
      </c>
      <c r="F455" s="78">
        <v>1157</v>
      </c>
      <c r="G455" s="78">
        <v>2696</v>
      </c>
      <c r="H455" s="78">
        <v>3264</v>
      </c>
      <c r="I455" s="78">
        <v>505</v>
      </c>
      <c r="J455" s="78">
        <v>0</v>
      </c>
      <c r="K455" s="78">
        <v>6465</v>
      </c>
      <c r="L455" s="78">
        <v>396</v>
      </c>
      <c r="M455" s="78">
        <v>1178</v>
      </c>
      <c r="N455" s="78">
        <v>1004</v>
      </c>
      <c r="O455" s="78">
        <v>2578</v>
      </c>
      <c r="P455" s="78">
        <v>2370</v>
      </c>
      <c r="Q455" s="78">
        <v>437</v>
      </c>
      <c r="R455" s="78">
        <v>6</v>
      </c>
      <c r="S455" s="78">
        <v>5391</v>
      </c>
      <c r="T455" s="78">
        <v>11856</v>
      </c>
      <c r="U455" s="112">
        <v>0.999493927125506</v>
      </c>
      <c r="V455" s="112">
        <v>1</v>
      </c>
      <c r="W455" s="78" t="s">
        <v>262</v>
      </c>
    </row>
    <row r="456" spans="1:23" s="115" customFormat="1" ht="14.45" customHeight="1" x14ac:dyDescent="0.2">
      <c r="A456" s="78" t="s">
        <v>263</v>
      </c>
      <c r="B456" s="78" t="s">
        <v>487</v>
      </c>
      <c r="C456" s="78">
        <v>13</v>
      </c>
      <c r="D456" s="78">
        <v>0</v>
      </c>
      <c r="E456" s="78">
        <v>0</v>
      </c>
      <c r="F456" s="78">
        <v>0</v>
      </c>
      <c r="G456" s="78">
        <v>0</v>
      </c>
      <c r="H456" s="78">
        <v>0</v>
      </c>
      <c r="I456" s="78">
        <v>0</v>
      </c>
      <c r="J456" s="78">
        <v>0</v>
      </c>
      <c r="K456" s="78">
        <v>0</v>
      </c>
      <c r="L456" s="78">
        <v>0</v>
      </c>
      <c r="M456" s="78">
        <v>0</v>
      </c>
      <c r="N456" s="78">
        <v>0</v>
      </c>
      <c r="O456" s="78">
        <v>0</v>
      </c>
      <c r="P456" s="78">
        <v>13</v>
      </c>
      <c r="Q456" s="78">
        <v>0</v>
      </c>
      <c r="R456" s="78">
        <v>0</v>
      </c>
      <c r="S456" s="78">
        <v>13</v>
      </c>
      <c r="T456" s="78">
        <v>163</v>
      </c>
      <c r="U456" s="112">
        <v>7.9754601226993904E-2</v>
      </c>
      <c r="V456" s="112">
        <v>7.9754601226993904E-2</v>
      </c>
      <c r="W456" s="78" t="s">
        <v>264</v>
      </c>
    </row>
    <row r="457" spans="1:23" s="115" customFormat="1" ht="14.45" customHeight="1" x14ac:dyDescent="0.2">
      <c r="A457" s="78" t="s">
        <v>263</v>
      </c>
      <c r="B457" s="78" t="s">
        <v>493</v>
      </c>
      <c r="C457" s="78">
        <v>27</v>
      </c>
      <c r="D457" s="78">
        <v>0</v>
      </c>
      <c r="E457" s="78">
        <v>5</v>
      </c>
      <c r="F457" s="78">
        <v>0</v>
      </c>
      <c r="G457" s="78">
        <v>5</v>
      </c>
      <c r="H457" s="78">
        <v>6</v>
      </c>
      <c r="I457" s="78">
        <v>0</v>
      </c>
      <c r="J457" s="78">
        <v>0</v>
      </c>
      <c r="K457" s="78">
        <v>11</v>
      </c>
      <c r="L457" s="78">
        <v>0</v>
      </c>
      <c r="M457" s="78">
        <v>9</v>
      </c>
      <c r="N457" s="78">
        <v>0</v>
      </c>
      <c r="O457" s="78">
        <v>9</v>
      </c>
      <c r="P457" s="78">
        <v>7</v>
      </c>
      <c r="Q457" s="78">
        <v>0</v>
      </c>
      <c r="R457" s="78">
        <v>0</v>
      </c>
      <c r="S457" s="78">
        <v>16</v>
      </c>
      <c r="T457" s="78">
        <v>114</v>
      </c>
      <c r="U457" s="112">
        <v>0.23684210526315799</v>
      </c>
      <c r="V457" s="112">
        <v>0.23684210526315799</v>
      </c>
      <c r="W457" s="78" t="s">
        <v>264</v>
      </c>
    </row>
    <row r="458" spans="1:23" s="115" customFormat="1" ht="14.45" customHeight="1" x14ac:dyDescent="0.2">
      <c r="A458" s="78" t="s">
        <v>263</v>
      </c>
      <c r="B458" s="78" t="s">
        <v>489</v>
      </c>
      <c r="C458" s="78">
        <v>15619</v>
      </c>
      <c r="D458" s="78">
        <v>954</v>
      </c>
      <c r="E458" s="78">
        <v>1025</v>
      </c>
      <c r="F458" s="78">
        <v>1078</v>
      </c>
      <c r="G458" s="78">
        <v>3057</v>
      </c>
      <c r="H458" s="78">
        <v>3005</v>
      </c>
      <c r="I458" s="78">
        <v>1130</v>
      </c>
      <c r="J458" s="78">
        <v>0</v>
      </c>
      <c r="K458" s="78">
        <v>7192</v>
      </c>
      <c r="L458" s="78">
        <v>1024</v>
      </c>
      <c r="M458" s="78">
        <v>1014</v>
      </c>
      <c r="N458" s="78">
        <v>1112</v>
      </c>
      <c r="O458" s="78">
        <v>3150</v>
      </c>
      <c r="P458" s="78">
        <v>4142</v>
      </c>
      <c r="Q458" s="78">
        <v>1135</v>
      </c>
      <c r="R458" s="78">
        <v>0</v>
      </c>
      <c r="S458" s="78">
        <v>8427</v>
      </c>
      <c r="T458" s="78">
        <v>209790</v>
      </c>
      <c r="U458" s="112">
        <v>7.44506411173078E-2</v>
      </c>
      <c r="V458" s="112">
        <v>7.44506411173078E-2</v>
      </c>
      <c r="W458" s="78" t="s">
        <v>264</v>
      </c>
    </row>
    <row r="459" spans="1:23" s="115" customFormat="1" ht="14.45" customHeight="1" x14ac:dyDescent="0.2">
      <c r="A459" s="78" t="s">
        <v>263</v>
      </c>
      <c r="B459" s="78" t="s">
        <v>491</v>
      </c>
      <c r="C459" s="78">
        <v>31</v>
      </c>
      <c r="D459" s="78">
        <v>0</v>
      </c>
      <c r="E459" s="78">
        <v>0</v>
      </c>
      <c r="F459" s="78">
        <v>0</v>
      </c>
      <c r="G459" s="78">
        <v>0</v>
      </c>
      <c r="H459" s="78">
        <v>10</v>
      </c>
      <c r="I459" s="78">
        <v>0</v>
      </c>
      <c r="J459" s="78">
        <v>0</v>
      </c>
      <c r="K459" s="78">
        <v>10</v>
      </c>
      <c r="L459" s="78">
        <v>0</v>
      </c>
      <c r="M459" s="78">
        <v>0</v>
      </c>
      <c r="N459" s="78">
        <v>0</v>
      </c>
      <c r="O459" s="78">
        <v>0</v>
      </c>
      <c r="P459" s="78">
        <v>21</v>
      </c>
      <c r="Q459" s="78">
        <v>0</v>
      </c>
      <c r="R459" s="78">
        <v>0</v>
      </c>
      <c r="S459" s="78">
        <v>21</v>
      </c>
      <c r="T459" s="78">
        <v>3023</v>
      </c>
      <c r="U459" s="112">
        <v>1.0254713860403599E-2</v>
      </c>
      <c r="V459" s="112">
        <v>1.0254713860403599E-2</v>
      </c>
      <c r="W459" s="78" t="s">
        <v>264</v>
      </c>
    </row>
    <row r="460" spans="1:23" s="115" customFormat="1" ht="14.45" customHeight="1" x14ac:dyDescent="0.2">
      <c r="A460" s="78" t="s">
        <v>263</v>
      </c>
      <c r="B460" s="78" t="s">
        <v>492</v>
      </c>
      <c r="C460" s="78">
        <v>12</v>
      </c>
      <c r="D460" s="78">
        <v>0</v>
      </c>
      <c r="E460" s="78">
        <v>6</v>
      </c>
      <c r="F460" s="78">
        <v>0</v>
      </c>
      <c r="G460" s="78">
        <v>6</v>
      </c>
      <c r="H460" s="78">
        <v>0</v>
      </c>
      <c r="I460" s="78">
        <v>0</v>
      </c>
      <c r="J460" s="78">
        <v>0</v>
      </c>
      <c r="K460" s="78">
        <v>6</v>
      </c>
      <c r="L460" s="78">
        <v>0</v>
      </c>
      <c r="M460" s="78">
        <v>0</v>
      </c>
      <c r="N460" s="78">
        <v>6</v>
      </c>
      <c r="O460" s="78">
        <v>6</v>
      </c>
      <c r="P460" s="78">
        <v>0</v>
      </c>
      <c r="Q460" s="78">
        <v>0</v>
      </c>
      <c r="R460" s="78">
        <v>0</v>
      </c>
      <c r="S460" s="78">
        <v>6</v>
      </c>
      <c r="T460" s="78">
        <v>12</v>
      </c>
      <c r="U460" s="112">
        <v>1</v>
      </c>
      <c r="V460" s="112">
        <v>1</v>
      </c>
      <c r="W460" s="78" t="s">
        <v>264</v>
      </c>
    </row>
    <row r="461" spans="1:23" s="115" customFormat="1" ht="14.45" customHeight="1" x14ac:dyDescent="0.2">
      <c r="A461" s="78" t="s">
        <v>263</v>
      </c>
      <c r="B461" s="78" t="s">
        <v>486</v>
      </c>
      <c r="C461" s="78">
        <v>176</v>
      </c>
      <c r="D461" s="78">
        <v>5</v>
      </c>
      <c r="E461" s="78">
        <v>21</v>
      </c>
      <c r="F461" s="78">
        <v>7</v>
      </c>
      <c r="G461" s="78">
        <v>33</v>
      </c>
      <c r="H461" s="78">
        <v>48</v>
      </c>
      <c r="I461" s="78">
        <v>0</v>
      </c>
      <c r="J461" s="78">
        <v>0</v>
      </c>
      <c r="K461" s="78">
        <v>81</v>
      </c>
      <c r="L461" s="78">
        <v>10</v>
      </c>
      <c r="M461" s="78">
        <v>22</v>
      </c>
      <c r="N461" s="78">
        <v>12</v>
      </c>
      <c r="O461" s="78">
        <v>44</v>
      </c>
      <c r="P461" s="78">
        <v>46</v>
      </c>
      <c r="Q461" s="78">
        <v>5</v>
      </c>
      <c r="R461" s="78">
        <v>0</v>
      </c>
      <c r="S461" s="78">
        <v>95</v>
      </c>
      <c r="T461" s="78">
        <v>29365</v>
      </c>
      <c r="U461" s="112">
        <v>5.9935297122424699E-3</v>
      </c>
      <c r="V461" s="112">
        <v>5.9935297122424699E-3</v>
      </c>
      <c r="W461" s="78" t="s">
        <v>264</v>
      </c>
    </row>
    <row r="462" spans="1:23" s="115" customFormat="1" ht="14.45" customHeight="1" x14ac:dyDescent="0.2">
      <c r="A462" s="78" t="s">
        <v>263</v>
      </c>
      <c r="B462" s="78" t="s">
        <v>490</v>
      </c>
      <c r="C462" s="78">
        <v>450</v>
      </c>
      <c r="D462" s="78">
        <v>107</v>
      </c>
      <c r="E462" s="78">
        <v>26</v>
      </c>
      <c r="F462" s="78">
        <v>38</v>
      </c>
      <c r="G462" s="78">
        <v>171</v>
      </c>
      <c r="H462" s="78">
        <v>85</v>
      </c>
      <c r="I462" s="78">
        <v>0</v>
      </c>
      <c r="J462" s="78">
        <v>0</v>
      </c>
      <c r="K462" s="78">
        <v>256</v>
      </c>
      <c r="L462" s="78">
        <v>92</v>
      </c>
      <c r="M462" s="78">
        <v>20</v>
      </c>
      <c r="N462" s="78">
        <v>30</v>
      </c>
      <c r="O462" s="78">
        <v>142</v>
      </c>
      <c r="P462" s="78">
        <v>52</v>
      </c>
      <c r="Q462" s="78">
        <v>0</v>
      </c>
      <c r="R462" s="78">
        <v>0</v>
      </c>
      <c r="S462" s="78">
        <v>194</v>
      </c>
      <c r="T462" s="78">
        <v>2314</v>
      </c>
      <c r="U462" s="112">
        <v>0.194468452895419</v>
      </c>
      <c r="V462" s="112">
        <v>0.194468452895419</v>
      </c>
      <c r="W462" s="78" t="s">
        <v>264</v>
      </c>
    </row>
    <row r="463" spans="1:23" s="115" customFormat="1" ht="14.45" customHeight="1" x14ac:dyDescent="0.2">
      <c r="A463" s="78" t="s">
        <v>265</v>
      </c>
      <c r="B463" s="78" t="s">
        <v>491</v>
      </c>
      <c r="C463" s="78">
        <v>210</v>
      </c>
      <c r="D463" s="78">
        <v>0</v>
      </c>
      <c r="E463" s="78">
        <v>5</v>
      </c>
      <c r="F463" s="78">
        <v>16</v>
      </c>
      <c r="G463" s="78">
        <v>21</v>
      </c>
      <c r="H463" s="78">
        <v>73</v>
      </c>
      <c r="I463" s="78">
        <v>5</v>
      </c>
      <c r="J463" s="78">
        <v>0</v>
      </c>
      <c r="K463" s="78">
        <v>99</v>
      </c>
      <c r="L463" s="78">
        <v>0</v>
      </c>
      <c r="M463" s="78">
        <v>9</v>
      </c>
      <c r="N463" s="78">
        <v>8</v>
      </c>
      <c r="O463" s="78">
        <v>17</v>
      </c>
      <c r="P463" s="78">
        <v>89</v>
      </c>
      <c r="Q463" s="78">
        <v>5</v>
      </c>
      <c r="R463" s="78">
        <v>0</v>
      </c>
      <c r="S463" s="78">
        <v>111</v>
      </c>
      <c r="T463" s="78">
        <v>210</v>
      </c>
      <c r="U463" s="112">
        <v>1</v>
      </c>
      <c r="V463" s="112">
        <v>1</v>
      </c>
      <c r="W463" s="78" t="s">
        <v>266</v>
      </c>
    </row>
    <row r="464" spans="1:23" s="115" customFormat="1" ht="14.45" customHeight="1" x14ac:dyDescent="0.2">
      <c r="A464" s="78" t="s">
        <v>267</v>
      </c>
      <c r="B464" s="78" t="s">
        <v>490</v>
      </c>
      <c r="C464" s="78">
        <v>0</v>
      </c>
      <c r="D464" s="78">
        <v>0</v>
      </c>
      <c r="E464" s="78">
        <v>0</v>
      </c>
      <c r="F464" s="78">
        <v>0</v>
      </c>
      <c r="G464" s="78">
        <v>0</v>
      </c>
      <c r="H464" s="78">
        <v>0</v>
      </c>
      <c r="I464" s="78">
        <v>0</v>
      </c>
      <c r="J464" s="78">
        <v>0</v>
      </c>
      <c r="K464" s="78">
        <v>0</v>
      </c>
      <c r="L464" s="78">
        <v>0</v>
      </c>
      <c r="M464" s="78">
        <v>0</v>
      </c>
      <c r="N464" s="78">
        <v>0</v>
      </c>
      <c r="O464" s="78">
        <v>0</v>
      </c>
      <c r="P464" s="78">
        <v>0</v>
      </c>
      <c r="Q464" s="78">
        <v>0</v>
      </c>
      <c r="R464" s="78">
        <v>0</v>
      </c>
      <c r="S464" s="78">
        <v>0</v>
      </c>
      <c r="T464" s="78">
        <v>1109</v>
      </c>
      <c r="U464" s="112">
        <v>0</v>
      </c>
      <c r="V464" s="112">
        <v>0</v>
      </c>
      <c r="W464" s="78" t="s">
        <v>268</v>
      </c>
    </row>
    <row r="465" spans="1:23" s="115" customFormat="1" ht="14.45" customHeight="1" x14ac:dyDescent="0.2">
      <c r="A465" s="78" t="s">
        <v>269</v>
      </c>
      <c r="B465" s="78" t="s">
        <v>487</v>
      </c>
      <c r="C465" s="78">
        <v>128</v>
      </c>
      <c r="D465" s="78">
        <v>0</v>
      </c>
      <c r="E465" s="78">
        <v>8</v>
      </c>
      <c r="F465" s="78">
        <v>0</v>
      </c>
      <c r="G465" s="78">
        <v>8</v>
      </c>
      <c r="H465" s="78">
        <v>40</v>
      </c>
      <c r="I465" s="78">
        <v>0</v>
      </c>
      <c r="J465" s="78">
        <v>0</v>
      </c>
      <c r="K465" s="78">
        <v>48</v>
      </c>
      <c r="L465" s="78">
        <v>0</v>
      </c>
      <c r="M465" s="78">
        <v>0</v>
      </c>
      <c r="N465" s="78">
        <v>6</v>
      </c>
      <c r="O465" s="78">
        <v>6</v>
      </c>
      <c r="P465" s="78">
        <v>69</v>
      </c>
      <c r="Q465" s="78">
        <v>5</v>
      </c>
      <c r="R465" s="78">
        <v>0</v>
      </c>
      <c r="S465" s="78">
        <v>80</v>
      </c>
      <c r="T465" s="78">
        <v>128</v>
      </c>
      <c r="U465" s="112">
        <v>1</v>
      </c>
      <c r="V465" s="112">
        <v>1</v>
      </c>
      <c r="W465" s="78" t="s">
        <v>270</v>
      </c>
    </row>
    <row r="466" spans="1:23" s="115" customFormat="1" ht="14.45" customHeight="1" x14ac:dyDescent="0.2">
      <c r="A466" s="78" t="s">
        <v>269</v>
      </c>
      <c r="B466" s="78" t="s">
        <v>491</v>
      </c>
      <c r="C466" s="78">
        <v>10</v>
      </c>
      <c r="D466" s="78">
        <v>0</v>
      </c>
      <c r="E466" s="78">
        <v>0</v>
      </c>
      <c r="F466" s="78">
        <v>0</v>
      </c>
      <c r="G466" s="78">
        <v>0</v>
      </c>
      <c r="H466" s="78">
        <v>0</v>
      </c>
      <c r="I466" s="78">
        <v>0</v>
      </c>
      <c r="J466" s="78">
        <v>0</v>
      </c>
      <c r="K466" s="78">
        <v>0</v>
      </c>
      <c r="L466" s="78">
        <v>0</v>
      </c>
      <c r="M466" s="78">
        <v>0</v>
      </c>
      <c r="N466" s="78">
        <v>0</v>
      </c>
      <c r="O466" s="78">
        <v>0</v>
      </c>
      <c r="P466" s="78">
        <v>10</v>
      </c>
      <c r="Q466" s="78">
        <v>0</v>
      </c>
      <c r="R466" s="78">
        <v>0</v>
      </c>
      <c r="S466" s="78">
        <v>10</v>
      </c>
      <c r="T466" s="78">
        <v>10</v>
      </c>
      <c r="U466" s="112">
        <v>1</v>
      </c>
      <c r="V466" s="112">
        <v>1</v>
      </c>
      <c r="W466" s="78" t="s">
        <v>270</v>
      </c>
    </row>
    <row r="467" spans="1:23" s="115" customFormat="1" ht="14.45" customHeight="1" x14ac:dyDescent="0.2">
      <c r="A467" s="78" t="s">
        <v>269</v>
      </c>
      <c r="B467" s="78" t="s">
        <v>486</v>
      </c>
      <c r="C467" s="78">
        <v>5</v>
      </c>
      <c r="D467" s="78">
        <v>0</v>
      </c>
      <c r="E467" s="78">
        <v>0</v>
      </c>
      <c r="F467" s="78">
        <v>5</v>
      </c>
      <c r="G467" s="78">
        <v>5</v>
      </c>
      <c r="H467" s="78">
        <v>0</v>
      </c>
      <c r="I467" s="78">
        <v>0</v>
      </c>
      <c r="J467" s="78">
        <v>0</v>
      </c>
      <c r="K467" s="78">
        <v>5</v>
      </c>
      <c r="L467" s="78">
        <v>0</v>
      </c>
      <c r="M467" s="78">
        <v>0</v>
      </c>
      <c r="N467" s="78">
        <v>0</v>
      </c>
      <c r="O467" s="78">
        <v>0</v>
      </c>
      <c r="P467" s="78">
        <v>0</v>
      </c>
      <c r="Q467" s="78">
        <v>0</v>
      </c>
      <c r="R467" s="78">
        <v>0</v>
      </c>
      <c r="S467" s="78">
        <v>0</v>
      </c>
      <c r="T467" s="78">
        <v>5</v>
      </c>
      <c r="U467" s="112">
        <v>1</v>
      </c>
      <c r="V467" s="112">
        <v>1</v>
      </c>
      <c r="W467" s="78" t="s">
        <v>270</v>
      </c>
    </row>
    <row r="468" spans="1:23" s="115" customFormat="1" ht="14.45" customHeight="1" x14ac:dyDescent="0.2">
      <c r="A468" s="78" t="s">
        <v>271</v>
      </c>
      <c r="B468" s="78" t="s">
        <v>487</v>
      </c>
      <c r="C468" s="78">
        <v>0</v>
      </c>
      <c r="D468" s="78">
        <v>0</v>
      </c>
      <c r="E468" s="78">
        <v>0</v>
      </c>
      <c r="F468" s="78">
        <v>0</v>
      </c>
      <c r="G468" s="78">
        <v>0</v>
      </c>
      <c r="H468" s="78">
        <v>0</v>
      </c>
      <c r="I468" s="78">
        <v>0</v>
      </c>
      <c r="J468" s="78">
        <v>0</v>
      </c>
      <c r="K468" s="78">
        <v>0</v>
      </c>
      <c r="L468" s="78">
        <v>0</v>
      </c>
      <c r="M468" s="78">
        <v>0</v>
      </c>
      <c r="N468" s="78">
        <v>0</v>
      </c>
      <c r="O468" s="78">
        <v>0</v>
      </c>
      <c r="P468" s="78">
        <v>0</v>
      </c>
      <c r="Q468" s="78">
        <v>0</v>
      </c>
      <c r="R468" s="78">
        <v>0</v>
      </c>
      <c r="S468" s="78">
        <v>0</v>
      </c>
      <c r="T468" s="78">
        <v>92</v>
      </c>
      <c r="U468" s="112">
        <v>0</v>
      </c>
      <c r="V468" s="112">
        <v>0</v>
      </c>
      <c r="W468" s="78" t="s">
        <v>272</v>
      </c>
    </row>
    <row r="469" spans="1:23" s="115" customFormat="1" ht="14.45" customHeight="1" x14ac:dyDescent="0.2">
      <c r="A469" s="78" t="s">
        <v>271</v>
      </c>
      <c r="B469" s="78" t="s">
        <v>486</v>
      </c>
      <c r="C469" s="78">
        <v>0</v>
      </c>
      <c r="D469" s="78">
        <v>0</v>
      </c>
      <c r="E469" s="78">
        <v>0</v>
      </c>
      <c r="F469" s="78">
        <v>0</v>
      </c>
      <c r="G469" s="78">
        <v>0</v>
      </c>
      <c r="H469" s="78">
        <v>0</v>
      </c>
      <c r="I469" s="78">
        <v>0</v>
      </c>
      <c r="J469" s="78">
        <v>0</v>
      </c>
      <c r="K469" s="78">
        <v>0</v>
      </c>
      <c r="L469" s="78">
        <v>0</v>
      </c>
      <c r="M469" s="78">
        <v>0</v>
      </c>
      <c r="N469" s="78">
        <v>0</v>
      </c>
      <c r="O469" s="78">
        <v>0</v>
      </c>
      <c r="P469" s="78">
        <v>0</v>
      </c>
      <c r="Q469" s="78">
        <v>0</v>
      </c>
      <c r="R469" s="78">
        <v>0</v>
      </c>
      <c r="S469" s="78">
        <v>0</v>
      </c>
      <c r="T469" s="78">
        <v>126866</v>
      </c>
      <c r="U469" s="112">
        <v>0</v>
      </c>
      <c r="V469" s="112">
        <v>0</v>
      </c>
      <c r="W469" s="78" t="s">
        <v>272</v>
      </c>
    </row>
    <row r="470" spans="1:23" s="115" customFormat="1" ht="14.45" customHeight="1" x14ac:dyDescent="0.2">
      <c r="A470" s="78" t="s">
        <v>271</v>
      </c>
      <c r="B470" s="78" t="s">
        <v>490</v>
      </c>
      <c r="C470" s="78">
        <v>0</v>
      </c>
      <c r="D470" s="78">
        <v>0</v>
      </c>
      <c r="E470" s="78">
        <v>0</v>
      </c>
      <c r="F470" s="78">
        <v>0</v>
      </c>
      <c r="G470" s="78">
        <v>0</v>
      </c>
      <c r="H470" s="78">
        <v>0</v>
      </c>
      <c r="I470" s="78">
        <v>0</v>
      </c>
      <c r="J470" s="78">
        <v>0</v>
      </c>
      <c r="K470" s="78">
        <v>0</v>
      </c>
      <c r="L470" s="78">
        <v>0</v>
      </c>
      <c r="M470" s="78">
        <v>0</v>
      </c>
      <c r="N470" s="78">
        <v>0</v>
      </c>
      <c r="O470" s="78">
        <v>0</v>
      </c>
      <c r="P470" s="78">
        <v>0</v>
      </c>
      <c r="Q470" s="78">
        <v>0</v>
      </c>
      <c r="R470" s="78">
        <v>0</v>
      </c>
      <c r="S470" s="78">
        <v>0</v>
      </c>
      <c r="T470" s="78">
        <v>40</v>
      </c>
      <c r="U470" s="112">
        <v>0</v>
      </c>
      <c r="V470" s="112">
        <v>0</v>
      </c>
      <c r="W470" s="78" t="s">
        <v>272</v>
      </c>
    </row>
    <row r="471" spans="1:23" s="115" customFormat="1" ht="14.45" customHeight="1" x14ac:dyDescent="0.2">
      <c r="A471" s="78" t="s">
        <v>273</v>
      </c>
      <c r="B471" s="78" t="s">
        <v>487</v>
      </c>
      <c r="C471" s="78">
        <v>0</v>
      </c>
      <c r="D471" s="78">
        <v>0</v>
      </c>
      <c r="E471" s="78">
        <v>0</v>
      </c>
      <c r="F471" s="78">
        <v>0</v>
      </c>
      <c r="G471" s="78">
        <v>0</v>
      </c>
      <c r="H471" s="78">
        <v>0</v>
      </c>
      <c r="I471" s="78">
        <v>0</v>
      </c>
      <c r="J471" s="78">
        <v>0</v>
      </c>
      <c r="K471" s="78">
        <v>0</v>
      </c>
      <c r="L471" s="78">
        <v>0</v>
      </c>
      <c r="M471" s="78">
        <v>0</v>
      </c>
      <c r="N471" s="78">
        <v>0</v>
      </c>
      <c r="O471" s="78">
        <v>0</v>
      </c>
      <c r="P471" s="78">
        <v>0</v>
      </c>
      <c r="Q471" s="78">
        <v>0</v>
      </c>
      <c r="R471" s="78">
        <v>0</v>
      </c>
      <c r="S471" s="78">
        <v>0</v>
      </c>
      <c r="T471" s="78">
        <v>1143</v>
      </c>
      <c r="U471" s="112">
        <v>0</v>
      </c>
      <c r="V471" s="112">
        <v>0</v>
      </c>
      <c r="W471" s="78" t="s">
        <v>274</v>
      </c>
    </row>
    <row r="472" spans="1:23" s="115" customFormat="1" ht="14.45" customHeight="1" x14ac:dyDescent="0.2">
      <c r="A472" s="78" t="s">
        <v>273</v>
      </c>
      <c r="B472" s="78" t="s">
        <v>491</v>
      </c>
      <c r="C472" s="78">
        <v>0</v>
      </c>
      <c r="D472" s="78">
        <v>0</v>
      </c>
      <c r="E472" s="78">
        <v>0</v>
      </c>
      <c r="F472" s="78">
        <v>0</v>
      </c>
      <c r="G472" s="78">
        <v>0</v>
      </c>
      <c r="H472" s="78">
        <v>0</v>
      </c>
      <c r="I472" s="78">
        <v>0</v>
      </c>
      <c r="J472" s="78">
        <v>0</v>
      </c>
      <c r="K472" s="78">
        <v>0</v>
      </c>
      <c r="L472" s="78">
        <v>0</v>
      </c>
      <c r="M472" s="78">
        <v>0</v>
      </c>
      <c r="N472" s="78">
        <v>0</v>
      </c>
      <c r="O472" s="78">
        <v>0</v>
      </c>
      <c r="P472" s="78">
        <v>0</v>
      </c>
      <c r="Q472" s="78">
        <v>0</v>
      </c>
      <c r="R472" s="78">
        <v>0</v>
      </c>
      <c r="S472" s="78">
        <v>0</v>
      </c>
      <c r="T472" s="78">
        <v>5</v>
      </c>
      <c r="U472" s="112">
        <v>0</v>
      </c>
      <c r="V472" s="112">
        <v>0</v>
      </c>
      <c r="W472" s="78" t="s">
        <v>274</v>
      </c>
    </row>
    <row r="473" spans="1:23" s="115" customFormat="1" ht="14.45" customHeight="1" x14ac:dyDescent="0.2">
      <c r="A473" s="78" t="s">
        <v>273</v>
      </c>
      <c r="B473" s="78" t="s">
        <v>486</v>
      </c>
      <c r="C473" s="78">
        <v>0</v>
      </c>
      <c r="D473" s="78">
        <v>0</v>
      </c>
      <c r="E473" s="78">
        <v>0</v>
      </c>
      <c r="F473" s="78">
        <v>0</v>
      </c>
      <c r="G473" s="78">
        <v>0</v>
      </c>
      <c r="H473" s="78">
        <v>0</v>
      </c>
      <c r="I473" s="78">
        <v>0</v>
      </c>
      <c r="J473" s="78">
        <v>0</v>
      </c>
      <c r="K473" s="78">
        <v>0</v>
      </c>
      <c r="L473" s="78">
        <v>0</v>
      </c>
      <c r="M473" s="78">
        <v>0</v>
      </c>
      <c r="N473" s="78">
        <v>0</v>
      </c>
      <c r="O473" s="78">
        <v>0</v>
      </c>
      <c r="P473" s="78">
        <v>0</v>
      </c>
      <c r="Q473" s="78">
        <v>0</v>
      </c>
      <c r="R473" s="78">
        <v>0</v>
      </c>
      <c r="S473" s="78">
        <v>0</v>
      </c>
      <c r="T473" s="78">
        <v>10525</v>
      </c>
      <c r="U473" s="112">
        <v>0</v>
      </c>
      <c r="V473" s="112">
        <v>0</v>
      </c>
      <c r="W473" s="78" t="s">
        <v>274</v>
      </c>
    </row>
    <row r="474" spans="1:23" s="115" customFormat="1" ht="14.45" customHeight="1" x14ac:dyDescent="0.2">
      <c r="A474" s="78" t="s">
        <v>273</v>
      </c>
      <c r="B474" s="78" t="s">
        <v>490</v>
      </c>
      <c r="C474" s="78">
        <v>0</v>
      </c>
      <c r="D474" s="78">
        <v>0</v>
      </c>
      <c r="E474" s="78">
        <v>0</v>
      </c>
      <c r="F474" s="78">
        <v>0</v>
      </c>
      <c r="G474" s="78">
        <v>0</v>
      </c>
      <c r="H474" s="78">
        <v>0</v>
      </c>
      <c r="I474" s="78">
        <v>0</v>
      </c>
      <c r="J474" s="78">
        <v>0</v>
      </c>
      <c r="K474" s="78">
        <v>0</v>
      </c>
      <c r="L474" s="78">
        <v>0</v>
      </c>
      <c r="M474" s="78">
        <v>0</v>
      </c>
      <c r="N474" s="78">
        <v>0</v>
      </c>
      <c r="O474" s="78">
        <v>0</v>
      </c>
      <c r="P474" s="78">
        <v>0</v>
      </c>
      <c r="Q474" s="78">
        <v>0</v>
      </c>
      <c r="R474" s="78">
        <v>0</v>
      </c>
      <c r="S474" s="78">
        <v>0</v>
      </c>
      <c r="T474" s="78">
        <v>5</v>
      </c>
      <c r="U474" s="112">
        <v>0</v>
      </c>
      <c r="V474" s="112">
        <v>0</v>
      </c>
      <c r="W474" s="78" t="s">
        <v>274</v>
      </c>
    </row>
    <row r="475" spans="1:23" s="115" customFormat="1" ht="14.45" customHeight="1" x14ac:dyDescent="0.2">
      <c r="A475" s="78" t="s">
        <v>275</v>
      </c>
      <c r="B475" s="78" t="s">
        <v>489</v>
      </c>
      <c r="C475" s="78">
        <v>0</v>
      </c>
      <c r="D475" s="78">
        <v>0</v>
      </c>
      <c r="E475" s="78">
        <v>0</v>
      </c>
      <c r="F475" s="78">
        <v>0</v>
      </c>
      <c r="G475" s="78">
        <v>0</v>
      </c>
      <c r="H475" s="78">
        <v>0</v>
      </c>
      <c r="I475" s="78">
        <v>0</v>
      </c>
      <c r="J475" s="78">
        <v>0</v>
      </c>
      <c r="K475" s="78">
        <v>0</v>
      </c>
      <c r="L475" s="78">
        <v>0</v>
      </c>
      <c r="M475" s="78">
        <v>0</v>
      </c>
      <c r="N475" s="78">
        <v>0</v>
      </c>
      <c r="O475" s="78">
        <v>0</v>
      </c>
      <c r="P475" s="78">
        <v>0</v>
      </c>
      <c r="Q475" s="78">
        <v>0</v>
      </c>
      <c r="R475" s="78">
        <v>0</v>
      </c>
      <c r="S475" s="78">
        <v>0</v>
      </c>
      <c r="T475" s="78">
        <v>1000</v>
      </c>
      <c r="U475" s="112">
        <v>0</v>
      </c>
      <c r="V475" s="112">
        <v>0</v>
      </c>
      <c r="W475" s="78" t="s">
        <v>276</v>
      </c>
    </row>
    <row r="476" spans="1:23" s="115" customFormat="1" ht="14.45" customHeight="1" x14ac:dyDescent="0.2">
      <c r="A476" s="78" t="s">
        <v>277</v>
      </c>
      <c r="B476" s="78" t="s">
        <v>487</v>
      </c>
      <c r="C476" s="78">
        <v>20500</v>
      </c>
      <c r="D476" s="78">
        <v>1286</v>
      </c>
      <c r="E476" s="78">
        <v>2062</v>
      </c>
      <c r="F476" s="78">
        <v>1591</v>
      </c>
      <c r="G476" s="78">
        <v>4939</v>
      </c>
      <c r="H476" s="78">
        <v>4956</v>
      </c>
      <c r="I476" s="78">
        <v>144</v>
      </c>
      <c r="J476" s="78">
        <v>0</v>
      </c>
      <c r="K476" s="78">
        <v>10039</v>
      </c>
      <c r="L476" s="78">
        <v>1436</v>
      </c>
      <c r="M476" s="78">
        <v>2200</v>
      </c>
      <c r="N476" s="78">
        <v>1569</v>
      </c>
      <c r="O476" s="78">
        <v>5205</v>
      </c>
      <c r="P476" s="78">
        <v>5013</v>
      </c>
      <c r="Q476" s="78">
        <v>243</v>
      </c>
      <c r="R476" s="78">
        <v>0</v>
      </c>
      <c r="S476" s="78">
        <v>10461</v>
      </c>
      <c r="T476" s="78">
        <v>20500</v>
      </c>
      <c r="U476" s="112">
        <v>1</v>
      </c>
      <c r="V476" s="112">
        <v>1</v>
      </c>
      <c r="W476" s="78" t="s">
        <v>278</v>
      </c>
    </row>
    <row r="477" spans="1:23" s="115" customFormat="1" ht="14.45" customHeight="1" x14ac:dyDescent="0.2">
      <c r="A477" s="78" t="s">
        <v>277</v>
      </c>
      <c r="B477" s="78" t="s">
        <v>489</v>
      </c>
      <c r="C477" s="78">
        <v>3860099</v>
      </c>
      <c r="D477" s="78">
        <v>532422</v>
      </c>
      <c r="E477" s="78">
        <v>421301</v>
      </c>
      <c r="F477" s="78">
        <v>319560</v>
      </c>
      <c r="G477" s="78">
        <v>1273283</v>
      </c>
      <c r="H477" s="78">
        <v>602272</v>
      </c>
      <c r="I477" s="78">
        <v>78805</v>
      </c>
      <c r="J477" s="78">
        <v>0</v>
      </c>
      <c r="K477" s="78">
        <v>1954360</v>
      </c>
      <c r="L477" s="78">
        <v>477693</v>
      </c>
      <c r="M477" s="78">
        <v>456434</v>
      </c>
      <c r="N477" s="78">
        <v>345005</v>
      </c>
      <c r="O477" s="78">
        <v>1279132</v>
      </c>
      <c r="P477" s="78">
        <v>514147</v>
      </c>
      <c r="Q477" s="78">
        <v>112460</v>
      </c>
      <c r="R477" s="78">
        <v>0</v>
      </c>
      <c r="S477" s="78">
        <v>1905739</v>
      </c>
      <c r="T477" s="78">
        <v>3860099</v>
      </c>
      <c r="U477" s="112">
        <v>1</v>
      </c>
      <c r="V477" s="112">
        <v>1</v>
      </c>
      <c r="W477" s="78" t="s">
        <v>278</v>
      </c>
    </row>
    <row r="478" spans="1:23" s="115" customFormat="1" ht="14.45" customHeight="1" x14ac:dyDescent="0.2">
      <c r="A478" s="78" t="s">
        <v>277</v>
      </c>
      <c r="B478" s="78" t="s">
        <v>491</v>
      </c>
      <c r="C478" s="78">
        <v>209</v>
      </c>
      <c r="D478" s="78">
        <v>0</v>
      </c>
      <c r="E478" s="78">
        <v>0</v>
      </c>
      <c r="F478" s="78">
        <v>8</v>
      </c>
      <c r="G478" s="78">
        <v>8</v>
      </c>
      <c r="H478" s="78">
        <v>167</v>
      </c>
      <c r="I478" s="78">
        <v>11</v>
      </c>
      <c r="J478" s="78">
        <v>0</v>
      </c>
      <c r="K478" s="78">
        <v>186</v>
      </c>
      <c r="L478" s="78">
        <v>0</v>
      </c>
      <c r="M478" s="78">
        <v>5</v>
      </c>
      <c r="N478" s="78">
        <v>9</v>
      </c>
      <c r="O478" s="78">
        <v>14</v>
      </c>
      <c r="P478" s="78">
        <v>9</v>
      </c>
      <c r="Q478" s="78">
        <v>0</v>
      </c>
      <c r="R478" s="78">
        <v>0</v>
      </c>
      <c r="S478" s="78">
        <v>23</v>
      </c>
      <c r="T478" s="78">
        <v>209</v>
      </c>
      <c r="U478" s="112">
        <v>1</v>
      </c>
      <c r="V478" s="112">
        <v>1</v>
      </c>
      <c r="W478" s="78" t="s">
        <v>278</v>
      </c>
    </row>
    <row r="479" spans="1:23" s="115" customFormat="1" ht="14.45" customHeight="1" x14ac:dyDescent="0.2">
      <c r="A479" s="78" t="s">
        <v>277</v>
      </c>
      <c r="B479" s="78" t="s">
        <v>492</v>
      </c>
      <c r="C479" s="78">
        <v>1710</v>
      </c>
      <c r="D479" s="78">
        <v>92</v>
      </c>
      <c r="E479" s="78">
        <v>118</v>
      </c>
      <c r="F479" s="78">
        <v>73</v>
      </c>
      <c r="G479" s="78">
        <v>283</v>
      </c>
      <c r="H479" s="78">
        <v>424</v>
      </c>
      <c r="I479" s="78">
        <v>16</v>
      </c>
      <c r="J479" s="78">
        <v>10</v>
      </c>
      <c r="K479" s="78">
        <v>733</v>
      </c>
      <c r="L479" s="78">
        <v>100</v>
      </c>
      <c r="M479" s="78">
        <v>128</v>
      </c>
      <c r="N479" s="78">
        <v>55</v>
      </c>
      <c r="O479" s="78">
        <v>283</v>
      </c>
      <c r="P479" s="78">
        <v>648</v>
      </c>
      <c r="Q479" s="78">
        <v>25</v>
      </c>
      <c r="R479" s="78">
        <v>21</v>
      </c>
      <c r="S479" s="78">
        <v>977</v>
      </c>
      <c r="T479" s="78">
        <v>1876</v>
      </c>
      <c r="U479" s="112">
        <v>0.89498933901918998</v>
      </c>
      <c r="V479" s="112">
        <v>0.91151385927505302</v>
      </c>
      <c r="W479" s="78" t="s">
        <v>278</v>
      </c>
    </row>
    <row r="480" spans="1:23" s="115" customFormat="1" ht="14.45" customHeight="1" x14ac:dyDescent="0.2">
      <c r="A480" s="78" t="s">
        <v>277</v>
      </c>
      <c r="B480" s="78" t="s">
        <v>486</v>
      </c>
      <c r="C480" s="78">
        <v>17770</v>
      </c>
      <c r="D480" s="78">
        <v>698</v>
      </c>
      <c r="E480" s="78">
        <v>1333</v>
      </c>
      <c r="F480" s="78">
        <v>1138</v>
      </c>
      <c r="G480" s="78">
        <v>3169</v>
      </c>
      <c r="H480" s="78">
        <v>3525</v>
      </c>
      <c r="I480" s="78">
        <v>233</v>
      </c>
      <c r="J480" s="78">
        <v>0</v>
      </c>
      <c r="K480" s="78">
        <v>6927</v>
      </c>
      <c r="L480" s="78">
        <v>773</v>
      </c>
      <c r="M480" s="78">
        <v>1389</v>
      </c>
      <c r="N480" s="78">
        <v>1202</v>
      </c>
      <c r="O480" s="78">
        <v>3364</v>
      </c>
      <c r="P480" s="78">
        <v>7036</v>
      </c>
      <c r="Q480" s="78">
        <v>443</v>
      </c>
      <c r="R480" s="78">
        <v>0</v>
      </c>
      <c r="S480" s="78">
        <v>10843</v>
      </c>
      <c r="T480" s="78">
        <v>17770</v>
      </c>
      <c r="U480" s="112">
        <v>1</v>
      </c>
      <c r="V480" s="112">
        <v>1</v>
      </c>
      <c r="W480" s="78" t="s">
        <v>278</v>
      </c>
    </row>
    <row r="481" spans="1:23" s="115" customFormat="1" ht="14.45" customHeight="1" x14ac:dyDescent="0.2">
      <c r="A481" s="78" t="s">
        <v>427</v>
      </c>
      <c r="B481" s="78" t="s">
        <v>487</v>
      </c>
      <c r="C481" s="78">
        <v>86911</v>
      </c>
      <c r="D481" s="78">
        <v>36</v>
      </c>
      <c r="E481" s="78">
        <v>547</v>
      </c>
      <c r="F481" s="78">
        <v>881</v>
      </c>
      <c r="G481" s="78">
        <v>1464</v>
      </c>
      <c r="H481" s="78">
        <v>16739</v>
      </c>
      <c r="I481" s="78">
        <v>152</v>
      </c>
      <c r="J481" s="78">
        <v>0</v>
      </c>
      <c r="K481" s="78">
        <v>18355</v>
      </c>
      <c r="L481" s="78">
        <v>47</v>
      </c>
      <c r="M481" s="78">
        <v>508</v>
      </c>
      <c r="N481" s="78">
        <v>844</v>
      </c>
      <c r="O481" s="78">
        <v>1399</v>
      </c>
      <c r="P481" s="78">
        <v>66777</v>
      </c>
      <c r="Q481" s="78">
        <v>380</v>
      </c>
      <c r="R481" s="78">
        <v>0</v>
      </c>
      <c r="S481" s="78">
        <v>68556</v>
      </c>
      <c r="T481" s="78">
        <v>86911</v>
      </c>
      <c r="U481" s="112">
        <v>1</v>
      </c>
      <c r="V481" s="112">
        <v>1</v>
      </c>
      <c r="W481" s="78" t="s">
        <v>279</v>
      </c>
    </row>
    <row r="482" spans="1:23" s="115" customFormat="1" ht="14.45" customHeight="1" x14ac:dyDescent="0.2">
      <c r="A482" s="78" t="s">
        <v>427</v>
      </c>
      <c r="B482" s="78" t="s">
        <v>486</v>
      </c>
      <c r="C482" s="78">
        <v>67145</v>
      </c>
      <c r="D482" s="78">
        <v>89</v>
      </c>
      <c r="E482" s="78">
        <v>1755</v>
      </c>
      <c r="F482" s="78">
        <v>2730</v>
      </c>
      <c r="G482" s="78">
        <v>4574</v>
      </c>
      <c r="H482" s="78">
        <v>18031</v>
      </c>
      <c r="I482" s="78">
        <v>406</v>
      </c>
      <c r="J482" s="78">
        <v>0</v>
      </c>
      <c r="K482" s="78">
        <v>23011</v>
      </c>
      <c r="L482" s="78">
        <v>83</v>
      </c>
      <c r="M482" s="78">
        <v>1840</v>
      </c>
      <c r="N482" s="78">
        <v>2705</v>
      </c>
      <c r="O482" s="78">
        <v>4628</v>
      </c>
      <c r="P482" s="78">
        <v>38612</v>
      </c>
      <c r="Q482" s="78">
        <v>894</v>
      </c>
      <c r="R482" s="78">
        <v>0</v>
      </c>
      <c r="S482" s="78">
        <v>44134</v>
      </c>
      <c r="T482" s="78">
        <v>67145</v>
      </c>
      <c r="U482" s="112">
        <v>1</v>
      </c>
      <c r="V482" s="112">
        <v>1</v>
      </c>
      <c r="W482" s="78" t="s">
        <v>279</v>
      </c>
    </row>
    <row r="483" spans="1:23" s="115" customFormat="1" ht="14.45" customHeight="1" x14ac:dyDescent="0.2">
      <c r="A483" s="78" t="s">
        <v>280</v>
      </c>
      <c r="B483" s="78" t="s">
        <v>487</v>
      </c>
      <c r="C483" s="78">
        <v>4871</v>
      </c>
      <c r="D483" s="78">
        <v>190</v>
      </c>
      <c r="E483" s="78">
        <v>130</v>
      </c>
      <c r="F483" s="78">
        <v>12</v>
      </c>
      <c r="G483" s="78">
        <v>332</v>
      </c>
      <c r="H483" s="78">
        <v>961</v>
      </c>
      <c r="I483" s="78">
        <v>6</v>
      </c>
      <c r="J483" s="78">
        <v>0</v>
      </c>
      <c r="K483" s="78">
        <v>1299</v>
      </c>
      <c r="L483" s="78">
        <v>188</v>
      </c>
      <c r="M483" s="78">
        <v>171</v>
      </c>
      <c r="N483" s="78">
        <v>233</v>
      </c>
      <c r="O483" s="78">
        <v>592</v>
      </c>
      <c r="P483" s="78">
        <v>2931</v>
      </c>
      <c r="Q483" s="78">
        <v>49</v>
      </c>
      <c r="R483" s="78">
        <v>0</v>
      </c>
      <c r="S483" s="78">
        <v>3572</v>
      </c>
      <c r="T483" s="78">
        <v>4871</v>
      </c>
      <c r="U483" s="112">
        <v>1</v>
      </c>
      <c r="V483" s="112">
        <v>1</v>
      </c>
      <c r="W483" s="78" t="s">
        <v>281</v>
      </c>
    </row>
    <row r="484" spans="1:23" s="115" customFormat="1" ht="14.45" customHeight="1" x14ac:dyDescent="0.2">
      <c r="A484" s="78" t="s">
        <v>280</v>
      </c>
      <c r="B484" s="78" t="s">
        <v>489</v>
      </c>
      <c r="C484" s="78">
        <v>0</v>
      </c>
      <c r="D484" s="78">
        <v>0</v>
      </c>
      <c r="E484" s="78">
        <v>0</v>
      </c>
      <c r="F484" s="78">
        <v>0</v>
      </c>
      <c r="G484" s="78">
        <v>0</v>
      </c>
      <c r="H484" s="78">
        <v>0</v>
      </c>
      <c r="I484" s="78">
        <v>0</v>
      </c>
      <c r="J484" s="78">
        <v>0</v>
      </c>
      <c r="K484" s="78">
        <v>0</v>
      </c>
      <c r="L484" s="78">
        <v>0</v>
      </c>
      <c r="M484" s="78">
        <v>0</v>
      </c>
      <c r="N484" s="78">
        <v>0</v>
      </c>
      <c r="O484" s="78">
        <v>0</v>
      </c>
      <c r="P484" s="78">
        <v>0</v>
      </c>
      <c r="Q484" s="78">
        <v>0</v>
      </c>
      <c r="R484" s="78">
        <v>0</v>
      </c>
      <c r="S484" s="78">
        <v>0</v>
      </c>
      <c r="T484" s="78">
        <v>1236672</v>
      </c>
      <c r="U484" s="112">
        <v>0</v>
      </c>
      <c r="V484" s="112">
        <v>0</v>
      </c>
      <c r="W484" s="78" t="s">
        <v>281</v>
      </c>
    </row>
    <row r="485" spans="1:23" s="115" customFormat="1" ht="14.45" customHeight="1" x14ac:dyDescent="0.2">
      <c r="A485" s="78" t="s">
        <v>280</v>
      </c>
      <c r="B485" s="78" t="s">
        <v>492</v>
      </c>
      <c r="C485" s="78">
        <v>0</v>
      </c>
      <c r="D485" s="78">
        <v>0</v>
      </c>
      <c r="E485" s="78">
        <v>0</v>
      </c>
      <c r="F485" s="78">
        <v>0</v>
      </c>
      <c r="G485" s="78">
        <v>0</v>
      </c>
      <c r="H485" s="78">
        <v>0</v>
      </c>
      <c r="I485" s="78">
        <v>0</v>
      </c>
      <c r="J485" s="78">
        <v>0</v>
      </c>
      <c r="K485" s="78">
        <v>0</v>
      </c>
      <c r="L485" s="78">
        <v>0</v>
      </c>
      <c r="M485" s="78">
        <v>0</v>
      </c>
      <c r="N485" s="78">
        <v>0</v>
      </c>
      <c r="O485" s="78">
        <v>0</v>
      </c>
      <c r="P485" s="78">
        <v>0</v>
      </c>
      <c r="Q485" s="78">
        <v>0</v>
      </c>
      <c r="R485" s="78">
        <v>0</v>
      </c>
      <c r="S485" s="78">
        <v>0</v>
      </c>
      <c r="T485" s="78">
        <v>527206</v>
      </c>
      <c r="U485" s="112">
        <v>0</v>
      </c>
      <c r="V485" s="112">
        <v>0</v>
      </c>
      <c r="W485" s="78" t="s">
        <v>281</v>
      </c>
    </row>
    <row r="486" spans="1:23" s="115" customFormat="1" ht="14.45" customHeight="1" x14ac:dyDescent="0.2">
      <c r="A486" s="78" t="s">
        <v>280</v>
      </c>
      <c r="B486" s="78" t="s">
        <v>486</v>
      </c>
      <c r="C486" s="78">
        <v>380728</v>
      </c>
      <c r="D486" s="78">
        <v>30721</v>
      </c>
      <c r="E486" s="78">
        <v>41778</v>
      </c>
      <c r="F486" s="78">
        <v>33237</v>
      </c>
      <c r="G486" s="78">
        <v>105736</v>
      </c>
      <c r="H486" s="78">
        <v>85532</v>
      </c>
      <c r="I486" s="78">
        <v>5324</v>
      </c>
      <c r="J486" s="78">
        <v>0</v>
      </c>
      <c r="K486" s="78">
        <v>196592</v>
      </c>
      <c r="L486" s="78">
        <v>32352</v>
      </c>
      <c r="M486" s="78">
        <v>44421</v>
      </c>
      <c r="N486" s="78">
        <v>33092</v>
      </c>
      <c r="O486" s="78">
        <v>109865</v>
      </c>
      <c r="P486" s="78">
        <v>69231</v>
      </c>
      <c r="Q486" s="78">
        <v>5040</v>
      </c>
      <c r="R486" s="78">
        <v>0</v>
      </c>
      <c r="S486" s="78">
        <v>184136</v>
      </c>
      <c r="T486" s="78">
        <v>381236</v>
      </c>
      <c r="U486" s="112">
        <v>0.99866749205216698</v>
      </c>
      <c r="V486" s="112">
        <v>0.99866749205216698</v>
      </c>
      <c r="W486" s="78" t="s">
        <v>281</v>
      </c>
    </row>
    <row r="487" spans="1:23" s="115" customFormat="1" ht="14.45" customHeight="1" x14ac:dyDescent="0.2">
      <c r="A487" s="78" t="s">
        <v>280</v>
      </c>
      <c r="B487" s="78" t="s">
        <v>490</v>
      </c>
      <c r="C487" s="78">
        <v>0</v>
      </c>
      <c r="D487" s="78">
        <v>0</v>
      </c>
      <c r="E487" s="78">
        <v>0</v>
      </c>
      <c r="F487" s="78">
        <v>0</v>
      </c>
      <c r="G487" s="78">
        <v>0</v>
      </c>
      <c r="H487" s="78">
        <v>0</v>
      </c>
      <c r="I487" s="78">
        <v>0</v>
      </c>
      <c r="J487" s="78">
        <v>0</v>
      </c>
      <c r="K487" s="78">
        <v>0</v>
      </c>
      <c r="L487" s="78">
        <v>0</v>
      </c>
      <c r="M487" s="78">
        <v>0</v>
      </c>
      <c r="N487" s="78">
        <v>0</v>
      </c>
      <c r="O487" s="78">
        <v>0</v>
      </c>
      <c r="P487" s="78">
        <v>0</v>
      </c>
      <c r="Q487" s="78">
        <v>0</v>
      </c>
      <c r="R487" s="78">
        <v>0</v>
      </c>
      <c r="S487" s="78">
        <v>0</v>
      </c>
      <c r="T487" s="78">
        <v>10500</v>
      </c>
      <c r="U487" s="112">
        <v>0</v>
      </c>
      <c r="V487" s="112">
        <v>0</v>
      </c>
      <c r="W487" s="78" t="s">
        <v>281</v>
      </c>
    </row>
    <row r="488" spans="1:23" s="115" customFormat="1" ht="14.45" customHeight="1" x14ac:dyDescent="0.2">
      <c r="A488" s="78" t="s">
        <v>428</v>
      </c>
      <c r="B488" s="78" t="s">
        <v>487</v>
      </c>
      <c r="C488" s="78">
        <v>204250</v>
      </c>
      <c r="D488" s="78">
        <v>0</v>
      </c>
      <c r="E488" s="78">
        <v>0</v>
      </c>
      <c r="F488" s="78">
        <v>0</v>
      </c>
      <c r="G488" s="78">
        <v>0</v>
      </c>
      <c r="H488" s="78">
        <v>0</v>
      </c>
      <c r="I488" s="78">
        <v>0</v>
      </c>
      <c r="J488" s="78">
        <v>97568</v>
      </c>
      <c r="K488" s="78">
        <v>97568</v>
      </c>
      <c r="L488" s="78">
        <v>0</v>
      </c>
      <c r="M488" s="78">
        <v>0</v>
      </c>
      <c r="N488" s="78">
        <v>0</v>
      </c>
      <c r="O488" s="78">
        <v>0</v>
      </c>
      <c r="P488" s="78">
        <v>0</v>
      </c>
      <c r="Q488" s="78">
        <v>0</v>
      </c>
      <c r="R488" s="78">
        <v>106682</v>
      </c>
      <c r="S488" s="78">
        <v>106682</v>
      </c>
      <c r="T488" s="78">
        <v>204270</v>
      </c>
      <c r="U488" s="112">
        <v>0</v>
      </c>
      <c r="V488" s="112">
        <v>0.99990209037058797</v>
      </c>
      <c r="W488" s="78" t="s">
        <v>282</v>
      </c>
    </row>
    <row r="489" spans="1:23" s="115" customFormat="1" ht="14.45" customHeight="1" x14ac:dyDescent="0.2">
      <c r="A489" s="78" t="s">
        <v>428</v>
      </c>
      <c r="B489" s="78" t="s">
        <v>486</v>
      </c>
      <c r="C489" s="78">
        <v>385701</v>
      </c>
      <c r="D489" s="78">
        <v>0</v>
      </c>
      <c r="E489" s="78">
        <v>0</v>
      </c>
      <c r="F489" s="78">
        <v>0</v>
      </c>
      <c r="G489" s="78">
        <v>0</v>
      </c>
      <c r="H489" s="78">
        <v>0</v>
      </c>
      <c r="I489" s="78">
        <v>0</v>
      </c>
      <c r="J489" s="78">
        <v>214123</v>
      </c>
      <c r="K489" s="78">
        <v>214123</v>
      </c>
      <c r="L489" s="78">
        <v>0</v>
      </c>
      <c r="M489" s="78">
        <v>0</v>
      </c>
      <c r="N489" s="78">
        <v>0</v>
      </c>
      <c r="O489" s="78">
        <v>0</v>
      </c>
      <c r="P489" s="78">
        <v>0</v>
      </c>
      <c r="Q489" s="78">
        <v>0</v>
      </c>
      <c r="R489" s="78">
        <v>171578</v>
      </c>
      <c r="S489" s="78">
        <v>171578</v>
      </c>
      <c r="T489" s="78">
        <v>385701</v>
      </c>
      <c r="U489" s="112">
        <v>0</v>
      </c>
      <c r="V489" s="112">
        <v>1</v>
      </c>
      <c r="W489" s="78" t="s">
        <v>282</v>
      </c>
    </row>
    <row r="490" spans="1:23" s="115" customFormat="1" ht="14.45" customHeight="1" x14ac:dyDescent="0.2">
      <c r="A490" s="78" t="s">
        <v>428</v>
      </c>
      <c r="B490" s="78" t="s">
        <v>490</v>
      </c>
      <c r="C490" s="78">
        <v>8525</v>
      </c>
      <c r="D490" s="78">
        <v>0</v>
      </c>
      <c r="E490" s="78">
        <v>0</v>
      </c>
      <c r="F490" s="78">
        <v>0</v>
      </c>
      <c r="G490" s="78">
        <v>0</v>
      </c>
      <c r="H490" s="78">
        <v>0</v>
      </c>
      <c r="I490" s="78">
        <v>0</v>
      </c>
      <c r="J490" s="78">
        <v>3207</v>
      </c>
      <c r="K490" s="78">
        <v>3207</v>
      </c>
      <c r="L490" s="78">
        <v>0</v>
      </c>
      <c r="M490" s="78">
        <v>0</v>
      </c>
      <c r="N490" s="78">
        <v>0</v>
      </c>
      <c r="O490" s="78">
        <v>0</v>
      </c>
      <c r="P490" s="78">
        <v>0</v>
      </c>
      <c r="Q490" s="78">
        <v>0</v>
      </c>
      <c r="R490" s="78">
        <v>5318</v>
      </c>
      <c r="S490" s="78">
        <v>5318</v>
      </c>
      <c r="T490" s="78">
        <v>8525</v>
      </c>
      <c r="U490" s="112">
        <v>0</v>
      </c>
      <c r="V490" s="112">
        <v>1</v>
      </c>
      <c r="W490" s="78" t="s">
        <v>282</v>
      </c>
    </row>
    <row r="491" spans="1:23" s="115" customFormat="1" ht="14.45" customHeight="1" x14ac:dyDescent="0.2">
      <c r="A491" s="78" t="s">
        <v>283</v>
      </c>
      <c r="B491" s="78" t="s">
        <v>487</v>
      </c>
      <c r="C491" s="78">
        <v>178</v>
      </c>
      <c r="D491" s="78">
        <v>0</v>
      </c>
      <c r="E491" s="78">
        <v>6</v>
      </c>
      <c r="F491" s="78">
        <v>11</v>
      </c>
      <c r="G491" s="78">
        <v>17</v>
      </c>
      <c r="H491" s="78">
        <v>28</v>
      </c>
      <c r="I491" s="78">
        <v>0</v>
      </c>
      <c r="J491" s="78">
        <v>0</v>
      </c>
      <c r="K491" s="78">
        <v>45</v>
      </c>
      <c r="L491" s="78">
        <v>0</v>
      </c>
      <c r="M491" s="78">
        <v>5</v>
      </c>
      <c r="N491" s="78">
        <v>18</v>
      </c>
      <c r="O491" s="78">
        <v>23</v>
      </c>
      <c r="P491" s="78">
        <v>110</v>
      </c>
      <c r="Q491" s="78">
        <v>0</v>
      </c>
      <c r="R491" s="78">
        <v>0</v>
      </c>
      <c r="S491" s="78">
        <v>133</v>
      </c>
      <c r="T491" s="78">
        <v>178</v>
      </c>
      <c r="U491" s="112">
        <v>1</v>
      </c>
      <c r="V491" s="112">
        <v>1</v>
      </c>
      <c r="W491" s="78" t="s">
        <v>284</v>
      </c>
    </row>
    <row r="492" spans="1:23" s="115" customFormat="1" ht="14.45" customHeight="1" x14ac:dyDescent="0.2">
      <c r="A492" s="78" t="s">
        <v>283</v>
      </c>
      <c r="B492" s="78" t="s">
        <v>493</v>
      </c>
      <c r="C492" s="78">
        <v>0</v>
      </c>
      <c r="D492" s="78">
        <v>0</v>
      </c>
      <c r="E492" s="78">
        <v>0</v>
      </c>
      <c r="F492" s="78">
        <v>0</v>
      </c>
      <c r="G492" s="78">
        <v>0</v>
      </c>
      <c r="H492" s="78">
        <v>0</v>
      </c>
      <c r="I492" s="78">
        <v>0</v>
      </c>
      <c r="J492" s="78">
        <v>0</v>
      </c>
      <c r="K492" s="78">
        <v>0</v>
      </c>
      <c r="L492" s="78">
        <v>0</v>
      </c>
      <c r="M492" s="78">
        <v>0</v>
      </c>
      <c r="N492" s="78">
        <v>0</v>
      </c>
      <c r="O492" s="78">
        <v>0</v>
      </c>
      <c r="P492" s="78">
        <v>0</v>
      </c>
      <c r="Q492" s="78">
        <v>0</v>
      </c>
      <c r="R492" s="78">
        <v>0</v>
      </c>
      <c r="S492" s="78">
        <v>0</v>
      </c>
      <c r="T492" s="78">
        <v>3734</v>
      </c>
      <c r="U492" s="112">
        <v>0</v>
      </c>
      <c r="V492" s="112">
        <v>0</v>
      </c>
      <c r="W492" s="78" t="s">
        <v>284</v>
      </c>
    </row>
    <row r="493" spans="1:23" s="115" customFormat="1" ht="14.45" customHeight="1" x14ac:dyDescent="0.2">
      <c r="A493" s="78" t="s">
        <v>283</v>
      </c>
      <c r="B493" s="78" t="s">
        <v>489</v>
      </c>
      <c r="C493" s="78">
        <v>0</v>
      </c>
      <c r="D493" s="78">
        <v>0</v>
      </c>
      <c r="E493" s="78">
        <v>0</v>
      </c>
      <c r="F493" s="78">
        <v>0</v>
      </c>
      <c r="G493" s="78">
        <v>0</v>
      </c>
      <c r="H493" s="78">
        <v>0</v>
      </c>
      <c r="I493" s="78">
        <v>0</v>
      </c>
      <c r="J493" s="78">
        <v>0</v>
      </c>
      <c r="K493" s="78">
        <v>0</v>
      </c>
      <c r="L493" s="78">
        <v>0</v>
      </c>
      <c r="M493" s="78">
        <v>0</v>
      </c>
      <c r="N493" s="78">
        <v>0</v>
      </c>
      <c r="O493" s="78">
        <v>0</v>
      </c>
      <c r="P493" s="78">
        <v>0</v>
      </c>
      <c r="Q493" s="78">
        <v>0</v>
      </c>
      <c r="R493" s="78">
        <v>0</v>
      </c>
      <c r="S493" s="78">
        <v>0</v>
      </c>
      <c r="T493" s="78">
        <v>4806</v>
      </c>
      <c r="U493" s="112">
        <v>0</v>
      </c>
      <c r="V493" s="112">
        <v>0</v>
      </c>
      <c r="W493" s="78" t="s">
        <v>284</v>
      </c>
    </row>
    <row r="494" spans="1:23" s="115" customFormat="1" ht="14.45" customHeight="1" x14ac:dyDescent="0.2">
      <c r="A494" s="78" t="s">
        <v>283</v>
      </c>
      <c r="B494" s="78" t="s">
        <v>492</v>
      </c>
      <c r="C494" s="78">
        <v>326</v>
      </c>
      <c r="D494" s="78">
        <v>5</v>
      </c>
      <c r="E494" s="78">
        <v>6</v>
      </c>
      <c r="F494" s="78">
        <v>23</v>
      </c>
      <c r="G494" s="78">
        <v>34</v>
      </c>
      <c r="H494" s="78">
        <v>109</v>
      </c>
      <c r="I494" s="78">
        <v>10</v>
      </c>
      <c r="J494" s="78">
        <v>0</v>
      </c>
      <c r="K494" s="78">
        <v>153</v>
      </c>
      <c r="L494" s="78">
        <v>0</v>
      </c>
      <c r="M494" s="78">
        <v>10</v>
      </c>
      <c r="N494" s="78">
        <v>31</v>
      </c>
      <c r="O494" s="78">
        <v>41</v>
      </c>
      <c r="P494" s="78">
        <v>122</v>
      </c>
      <c r="Q494" s="78">
        <v>10</v>
      </c>
      <c r="R494" s="78">
        <v>0</v>
      </c>
      <c r="S494" s="78">
        <v>173</v>
      </c>
      <c r="T494" s="78">
        <v>346</v>
      </c>
      <c r="U494" s="112">
        <v>0.94219653179190799</v>
      </c>
      <c r="V494" s="112">
        <v>0.94219653179190799</v>
      </c>
      <c r="W494" s="78" t="s">
        <v>284</v>
      </c>
    </row>
    <row r="495" spans="1:23" s="115" customFormat="1" ht="14.45" customHeight="1" x14ac:dyDescent="0.2">
      <c r="A495" s="78" t="s">
        <v>283</v>
      </c>
      <c r="B495" s="78" t="s">
        <v>486</v>
      </c>
      <c r="C495" s="78">
        <v>377</v>
      </c>
      <c r="D495" s="78">
        <v>0</v>
      </c>
      <c r="E495" s="78">
        <v>23</v>
      </c>
      <c r="F495" s="78">
        <v>29</v>
      </c>
      <c r="G495" s="78">
        <v>52</v>
      </c>
      <c r="H495" s="78">
        <v>93</v>
      </c>
      <c r="I495" s="78">
        <v>5</v>
      </c>
      <c r="J495" s="78">
        <v>0</v>
      </c>
      <c r="K495" s="78">
        <v>150</v>
      </c>
      <c r="L495" s="78">
        <v>19</v>
      </c>
      <c r="M495" s="78">
        <v>17</v>
      </c>
      <c r="N495" s="78">
        <v>21</v>
      </c>
      <c r="O495" s="78">
        <v>57</v>
      </c>
      <c r="P495" s="78">
        <v>165</v>
      </c>
      <c r="Q495" s="78">
        <v>5</v>
      </c>
      <c r="R495" s="78">
        <v>0</v>
      </c>
      <c r="S495" s="78">
        <v>227</v>
      </c>
      <c r="T495" s="78">
        <v>377</v>
      </c>
      <c r="U495" s="112">
        <v>1</v>
      </c>
      <c r="V495" s="112">
        <v>1</v>
      </c>
      <c r="W495" s="78" t="s">
        <v>284</v>
      </c>
    </row>
    <row r="496" spans="1:23" s="115" customFormat="1" ht="14.45" customHeight="1" x14ac:dyDescent="0.2">
      <c r="A496" s="78" t="s">
        <v>441</v>
      </c>
      <c r="B496" s="78" t="s">
        <v>492</v>
      </c>
      <c r="C496" s="78">
        <v>0</v>
      </c>
      <c r="D496" s="78">
        <v>0</v>
      </c>
      <c r="E496" s="78">
        <v>0</v>
      </c>
      <c r="F496" s="78">
        <v>0</v>
      </c>
      <c r="G496" s="78">
        <v>0</v>
      </c>
      <c r="H496" s="78">
        <v>0</v>
      </c>
      <c r="I496" s="78">
        <v>0</v>
      </c>
      <c r="J496" s="78">
        <v>0</v>
      </c>
      <c r="K496" s="78">
        <v>0</v>
      </c>
      <c r="L496" s="78">
        <v>0</v>
      </c>
      <c r="M496" s="78">
        <v>0</v>
      </c>
      <c r="N496" s="78">
        <v>0</v>
      </c>
      <c r="O496" s="78">
        <v>0</v>
      </c>
      <c r="P496" s="78">
        <v>0</v>
      </c>
      <c r="Q496" s="78">
        <v>0</v>
      </c>
      <c r="R496" s="78">
        <v>0</v>
      </c>
      <c r="S496" s="78">
        <v>0</v>
      </c>
      <c r="T496" s="78">
        <v>6</v>
      </c>
      <c r="U496" s="112">
        <v>0</v>
      </c>
      <c r="V496" s="112">
        <v>0</v>
      </c>
      <c r="W496" s="78" t="s">
        <v>442</v>
      </c>
    </row>
    <row r="497" spans="1:23" s="115" customFormat="1" ht="14.45" customHeight="1" x14ac:dyDescent="0.2">
      <c r="A497" s="78" t="s">
        <v>285</v>
      </c>
      <c r="B497" s="78" t="s">
        <v>487</v>
      </c>
      <c r="C497" s="78">
        <v>39510</v>
      </c>
      <c r="D497" s="78">
        <v>1858</v>
      </c>
      <c r="E497" s="78">
        <v>5126</v>
      </c>
      <c r="F497" s="78">
        <v>2555</v>
      </c>
      <c r="G497" s="78">
        <v>9539</v>
      </c>
      <c r="H497" s="78">
        <v>9683</v>
      </c>
      <c r="I497" s="78">
        <v>456</v>
      </c>
      <c r="J497" s="78">
        <v>251</v>
      </c>
      <c r="K497" s="78">
        <v>19929</v>
      </c>
      <c r="L497" s="78">
        <v>1963</v>
      </c>
      <c r="M497" s="78">
        <v>5233</v>
      </c>
      <c r="N497" s="78">
        <v>2409</v>
      </c>
      <c r="O497" s="78">
        <v>9605</v>
      </c>
      <c r="P497" s="78">
        <v>9242</v>
      </c>
      <c r="Q497" s="78">
        <v>734</v>
      </c>
      <c r="R497" s="78">
        <v>0</v>
      </c>
      <c r="S497" s="78">
        <v>19581</v>
      </c>
      <c r="T497" s="78">
        <v>39510</v>
      </c>
      <c r="U497" s="112">
        <v>0.99364717792963797</v>
      </c>
      <c r="V497" s="112">
        <v>1</v>
      </c>
      <c r="W497" s="78" t="s">
        <v>286</v>
      </c>
    </row>
    <row r="498" spans="1:23" s="115" customFormat="1" ht="14.45" customHeight="1" x14ac:dyDescent="0.2">
      <c r="A498" s="78" t="s">
        <v>285</v>
      </c>
      <c r="B498" s="78" t="s">
        <v>489</v>
      </c>
      <c r="C498" s="78">
        <v>9052822</v>
      </c>
      <c r="D498" s="78">
        <v>501117</v>
      </c>
      <c r="E498" s="78">
        <v>976959</v>
      </c>
      <c r="F498" s="78">
        <v>636998</v>
      </c>
      <c r="G498" s="78">
        <v>2115074</v>
      </c>
      <c r="H498" s="78">
        <v>1791292</v>
      </c>
      <c r="I498" s="78">
        <v>231065</v>
      </c>
      <c r="J498" s="78">
        <v>0</v>
      </c>
      <c r="K498" s="78">
        <v>4137431</v>
      </c>
      <c r="L498" s="78">
        <v>648908</v>
      </c>
      <c r="M498" s="78">
        <v>1254055</v>
      </c>
      <c r="N498" s="78">
        <v>819770</v>
      </c>
      <c r="O498" s="78">
        <v>2722733</v>
      </c>
      <c r="P498" s="78">
        <v>1921956</v>
      </c>
      <c r="Q498" s="78">
        <v>270702</v>
      </c>
      <c r="R498" s="78">
        <v>0</v>
      </c>
      <c r="S498" s="78">
        <v>4915391</v>
      </c>
      <c r="T498" s="78">
        <v>9052822</v>
      </c>
      <c r="U498" s="112">
        <v>1</v>
      </c>
      <c r="V498" s="112">
        <v>1</v>
      </c>
      <c r="W498" s="78" t="s">
        <v>286</v>
      </c>
    </row>
    <row r="499" spans="1:23" s="115" customFormat="1" ht="14.45" customHeight="1" x14ac:dyDescent="0.2">
      <c r="A499" s="78" t="s">
        <v>285</v>
      </c>
      <c r="B499" s="78" t="s">
        <v>491</v>
      </c>
      <c r="C499" s="78">
        <v>3636</v>
      </c>
      <c r="D499" s="78">
        <v>0</v>
      </c>
      <c r="E499" s="78">
        <v>161</v>
      </c>
      <c r="F499" s="78">
        <v>245</v>
      </c>
      <c r="G499" s="78">
        <v>406</v>
      </c>
      <c r="H499" s="78">
        <v>1022</v>
      </c>
      <c r="I499" s="78">
        <v>273</v>
      </c>
      <c r="J499" s="78">
        <v>0</v>
      </c>
      <c r="K499" s="78">
        <v>1701</v>
      </c>
      <c r="L499" s="78">
        <v>5</v>
      </c>
      <c r="M499" s="78">
        <v>167</v>
      </c>
      <c r="N499" s="78">
        <v>264</v>
      </c>
      <c r="O499" s="78">
        <v>436</v>
      </c>
      <c r="P499" s="78">
        <v>1084</v>
      </c>
      <c r="Q499" s="78">
        <v>415</v>
      </c>
      <c r="R499" s="78">
        <v>0</v>
      </c>
      <c r="S499" s="78">
        <v>1935</v>
      </c>
      <c r="T499" s="78">
        <v>3636</v>
      </c>
      <c r="U499" s="112">
        <v>1</v>
      </c>
      <c r="V499" s="112">
        <v>1</v>
      </c>
      <c r="W499" s="78" t="s">
        <v>286</v>
      </c>
    </row>
    <row r="500" spans="1:23" s="115" customFormat="1" ht="14.45" customHeight="1" x14ac:dyDescent="0.2">
      <c r="A500" s="78" t="s">
        <v>285</v>
      </c>
      <c r="B500" s="78" t="s">
        <v>492</v>
      </c>
      <c r="C500" s="78">
        <v>17218</v>
      </c>
      <c r="D500" s="78">
        <v>943</v>
      </c>
      <c r="E500" s="78">
        <v>2813</v>
      </c>
      <c r="F500" s="78">
        <v>1488</v>
      </c>
      <c r="G500" s="78">
        <v>5244</v>
      </c>
      <c r="H500" s="78">
        <v>3564</v>
      </c>
      <c r="I500" s="78">
        <v>322</v>
      </c>
      <c r="J500" s="78">
        <v>0</v>
      </c>
      <c r="K500" s="78">
        <v>9130</v>
      </c>
      <c r="L500" s="78">
        <v>898</v>
      </c>
      <c r="M500" s="78">
        <v>2735</v>
      </c>
      <c r="N500" s="78">
        <v>1504</v>
      </c>
      <c r="O500" s="78">
        <v>5137</v>
      </c>
      <c r="P500" s="78">
        <v>2729</v>
      </c>
      <c r="Q500" s="78">
        <v>222</v>
      </c>
      <c r="R500" s="78">
        <v>0</v>
      </c>
      <c r="S500" s="78">
        <v>8088</v>
      </c>
      <c r="T500" s="78">
        <v>17238</v>
      </c>
      <c r="U500" s="112">
        <v>0.998839772595429</v>
      </c>
      <c r="V500" s="112">
        <v>0.998839772595429</v>
      </c>
      <c r="W500" s="78" t="s">
        <v>286</v>
      </c>
    </row>
    <row r="501" spans="1:23" s="115" customFormat="1" ht="14.45" customHeight="1" x14ac:dyDescent="0.2">
      <c r="A501" s="78" t="s">
        <v>285</v>
      </c>
      <c r="B501" s="78" t="s">
        <v>486</v>
      </c>
      <c r="C501" s="78">
        <v>922474</v>
      </c>
      <c r="D501" s="78">
        <v>34333</v>
      </c>
      <c r="E501" s="78">
        <v>111267</v>
      </c>
      <c r="F501" s="78">
        <v>77413</v>
      </c>
      <c r="G501" s="78">
        <v>223013</v>
      </c>
      <c r="H501" s="78">
        <v>225749</v>
      </c>
      <c r="I501" s="78">
        <v>25280</v>
      </c>
      <c r="J501" s="78">
        <v>297</v>
      </c>
      <c r="K501" s="78">
        <v>474339</v>
      </c>
      <c r="L501" s="78">
        <v>34213</v>
      </c>
      <c r="M501" s="78">
        <v>112007</v>
      </c>
      <c r="N501" s="78">
        <v>78927</v>
      </c>
      <c r="O501" s="78">
        <v>225147</v>
      </c>
      <c r="P501" s="78">
        <v>199448</v>
      </c>
      <c r="Q501" s="78">
        <v>23540</v>
      </c>
      <c r="R501" s="78">
        <v>0</v>
      </c>
      <c r="S501" s="78">
        <v>448135</v>
      </c>
      <c r="T501" s="78">
        <v>922474</v>
      </c>
      <c r="U501" s="112">
        <v>0.99967803970626801</v>
      </c>
      <c r="V501" s="112">
        <v>1</v>
      </c>
      <c r="W501" s="78" t="s">
        <v>286</v>
      </c>
    </row>
    <row r="502" spans="1:23" s="115" customFormat="1" ht="14.45" customHeight="1" x14ac:dyDescent="0.2">
      <c r="A502" s="78" t="s">
        <v>287</v>
      </c>
      <c r="B502" s="78" t="s">
        <v>487</v>
      </c>
      <c r="C502" s="78">
        <v>0</v>
      </c>
      <c r="D502" s="78">
        <v>0</v>
      </c>
      <c r="E502" s="78">
        <v>0</v>
      </c>
      <c r="F502" s="78">
        <v>0</v>
      </c>
      <c r="G502" s="78">
        <v>0</v>
      </c>
      <c r="H502" s="78">
        <v>0</v>
      </c>
      <c r="I502" s="78">
        <v>0</v>
      </c>
      <c r="J502" s="78">
        <v>0</v>
      </c>
      <c r="K502" s="78">
        <v>0</v>
      </c>
      <c r="L502" s="78">
        <v>0</v>
      </c>
      <c r="M502" s="78">
        <v>0</v>
      </c>
      <c r="N502" s="78">
        <v>0</v>
      </c>
      <c r="O502" s="78">
        <v>0</v>
      </c>
      <c r="P502" s="78">
        <v>0</v>
      </c>
      <c r="Q502" s="78">
        <v>0</v>
      </c>
      <c r="R502" s="78">
        <v>0</v>
      </c>
      <c r="S502" s="78">
        <v>0</v>
      </c>
      <c r="T502" s="78">
        <v>2609</v>
      </c>
      <c r="U502" s="112">
        <v>0</v>
      </c>
      <c r="V502" s="112">
        <v>0</v>
      </c>
      <c r="W502" s="78" t="s">
        <v>288</v>
      </c>
    </row>
    <row r="503" spans="1:23" s="115" customFormat="1" ht="14.45" customHeight="1" x14ac:dyDescent="0.2">
      <c r="A503" s="78" t="s">
        <v>287</v>
      </c>
      <c r="B503" s="78" t="s">
        <v>491</v>
      </c>
      <c r="C503" s="78">
        <v>0</v>
      </c>
      <c r="D503" s="78">
        <v>0</v>
      </c>
      <c r="E503" s="78">
        <v>0</v>
      </c>
      <c r="F503" s="78">
        <v>0</v>
      </c>
      <c r="G503" s="78">
        <v>0</v>
      </c>
      <c r="H503" s="78">
        <v>0</v>
      </c>
      <c r="I503" s="78">
        <v>0</v>
      </c>
      <c r="J503" s="78">
        <v>0</v>
      </c>
      <c r="K503" s="78">
        <v>0</v>
      </c>
      <c r="L503" s="78">
        <v>0</v>
      </c>
      <c r="M503" s="78">
        <v>0</v>
      </c>
      <c r="N503" s="78">
        <v>0</v>
      </c>
      <c r="O503" s="78">
        <v>0</v>
      </c>
      <c r="P503" s="78">
        <v>0</v>
      </c>
      <c r="Q503" s="78">
        <v>0</v>
      </c>
      <c r="R503" s="78">
        <v>0</v>
      </c>
      <c r="S503" s="78">
        <v>0</v>
      </c>
      <c r="T503" s="78">
        <v>5</v>
      </c>
      <c r="U503" s="112">
        <v>0</v>
      </c>
      <c r="V503" s="112">
        <v>0</v>
      </c>
      <c r="W503" s="78" t="s">
        <v>288</v>
      </c>
    </row>
    <row r="504" spans="1:23" s="115" customFormat="1" ht="14.45" customHeight="1" x14ac:dyDescent="0.2">
      <c r="A504" s="78" t="s">
        <v>287</v>
      </c>
      <c r="B504" s="78" t="s">
        <v>486</v>
      </c>
      <c r="C504" s="78">
        <v>0</v>
      </c>
      <c r="D504" s="78">
        <v>0</v>
      </c>
      <c r="E504" s="78">
        <v>0</v>
      </c>
      <c r="F504" s="78">
        <v>0</v>
      </c>
      <c r="G504" s="78">
        <v>0</v>
      </c>
      <c r="H504" s="78">
        <v>0</v>
      </c>
      <c r="I504" s="78">
        <v>0</v>
      </c>
      <c r="J504" s="78">
        <v>0</v>
      </c>
      <c r="K504" s="78">
        <v>0</v>
      </c>
      <c r="L504" s="78">
        <v>0</v>
      </c>
      <c r="M504" s="78">
        <v>0</v>
      </c>
      <c r="N504" s="78">
        <v>0</v>
      </c>
      <c r="O504" s="78">
        <v>0</v>
      </c>
      <c r="P504" s="78">
        <v>0</v>
      </c>
      <c r="Q504" s="78">
        <v>0</v>
      </c>
      <c r="R504" s="78">
        <v>0</v>
      </c>
      <c r="S504" s="78">
        <v>0</v>
      </c>
      <c r="T504" s="78">
        <v>24</v>
      </c>
      <c r="U504" s="112">
        <v>0</v>
      </c>
      <c r="V504" s="112">
        <v>0</v>
      </c>
      <c r="W504" s="78" t="s">
        <v>288</v>
      </c>
    </row>
    <row r="505" spans="1:23" s="115" customFormat="1" ht="14.45" customHeight="1" x14ac:dyDescent="0.2">
      <c r="A505" s="78" t="s">
        <v>289</v>
      </c>
      <c r="B505" s="78" t="s">
        <v>487</v>
      </c>
      <c r="C505" s="78">
        <v>11206</v>
      </c>
      <c r="D505" s="78">
        <v>0</v>
      </c>
      <c r="E505" s="78">
        <v>0</v>
      </c>
      <c r="F505" s="78">
        <v>0</v>
      </c>
      <c r="G505" s="78">
        <v>0</v>
      </c>
      <c r="H505" s="78">
        <v>0</v>
      </c>
      <c r="I505" s="78">
        <v>0</v>
      </c>
      <c r="J505" s="78">
        <v>4224</v>
      </c>
      <c r="K505" s="78">
        <v>4224</v>
      </c>
      <c r="L505" s="78">
        <v>0</v>
      </c>
      <c r="M505" s="78">
        <v>0</v>
      </c>
      <c r="N505" s="78">
        <v>0</v>
      </c>
      <c r="O505" s="78">
        <v>0</v>
      </c>
      <c r="P505" s="78">
        <v>0</v>
      </c>
      <c r="Q505" s="78">
        <v>0</v>
      </c>
      <c r="R505" s="78">
        <v>6982</v>
      </c>
      <c r="S505" s="78">
        <v>6982</v>
      </c>
      <c r="T505" s="78">
        <v>11271</v>
      </c>
      <c r="U505" s="112">
        <v>0</v>
      </c>
      <c r="V505" s="112">
        <v>0.99423298731257204</v>
      </c>
      <c r="W505" s="78" t="s">
        <v>290</v>
      </c>
    </row>
    <row r="506" spans="1:23" s="115" customFormat="1" ht="14.45" customHeight="1" x14ac:dyDescent="0.2">
      <c r="A506" s="78" t="s">
        <v>289</v>
      </c>
      <c r="B506" s="78" t="s">
        <v>486</v>
      </c>
      <c r="C506" s="78">
        <v>237632</v>
      </c>
      <c r="D506" s="78">
        <v>4469</v>
      </c>
      <c r="E506" s="78">
        <v>14334</v>
      </c>
      <c r="F506" s="78">
        <v>12270</v>
      </c>
      <c r="G506" s="78">
        <v>31073</v>
      </c>
      <c r="H506" s="78">
        <v>71067</v>
      </c>
      <c r="I506" s="78">
        <v>4546</v>
      </c>
      <c r="J506" s="78">
        <v>0</v>
      </c>
      <c r="K506" s="78">
        <v>106686</v>
      </c>
      <c r="L506" s="78">
        <v>3889</v>
      </c>
      <c r="M506" s="78">
        <v>12604</v>
      </c>
      <c r="N506" s="78">
        <v>14874</v>
      </c>
      <c r="O506" s="78">
        <v>31367</v>
      </c>
      <c r="P506" s="78">
        <v>96366</v>
      </c>
      <c r="Q506" s="78">
        <v>3213</v>
      </c>
      <c r="R506" s="78">
        <v>0</v>
      </c>
      <c r="S506" s="78">
        <v>130946</v>
      </c>
      <c r="T506" s="78">
        <v>237632</v>
      </c>
      <c r="U506" s="112">
        <v>1</v>
      </c>
      <c r="V506" s="112">
        <v>1</v>
      </c>
      <c r="W506" s="78" t="s">
        <v>290</v>
      </c>
    </row>
    <row r="507" spans="1:23" s="115" customFormat="1" ht="14.45" customHeight="1" x14ac:dyDescent="0.2">
      <c r="A507" s="78" t="s">
        <v>289</v>
      </c>
      <c r="B507" s="78" t="s">
        <v>490</v>
      </c>
      <c r="C507" s="78">
        <v>0</v>
      </c>
      <c r="D507" s="78">
        <v>0</v>
      </c>
      <c r="E507" s="78">
        <v>0</v>
      </c>
      <c r="F507" s="78">
        <v>0</v>
      </c>
      <c r="G507" s="78">
        <v>0</v>
      </c>
      <c r="H507" s="78">
        <v>0</v>
      </c>
      <c r="I507" s="78">
        <v>0</v>
      </c>
      <c r="J507" s="78">
        <v>0</v>
      </c>
      <c r="K507" s="78">
        <v>0</v>
      </c>
      <c r="L507" s="78">
        <v>0</v>
      </c>
      <c r="M507" s="78">
        <v>0</v>
      </c>
      <c r="N507" s="78">
        <v>0</v>
      </c>
      <c r="O507" s="78">
        <v>0</v>
      </c>
      <c r="P507" s="78">
        <v>0</v>
      </c>
      <c r="Q507" s="78">
        <v>0</v>
      </c>
      <c r="R507" s="78">
        <v>0</v>
      </c>
      <c r="S507" s="78">
        <v>0</v>
      </c>
      <c r="T507" s="78">
        <v>1714</v>
      </c>
      <c r="U507" s="112">
        <v>0</v>
      </c>
      <c r="V507" s="112">
        <v>0</v>
      </c>
      <c r="W507" s="78" t="s">
        <v>290</v>
      </c>
    </row>
    <row r="508" spans="1:23" s="115" customFormat="1" ht="14.45" customHeight="1" x14ac:dyDescent="0.2">
      <c r="A508" s="78" t="s">
        <v>291</v>
      </c>
      <c r="B508" s="78" t="s">
        <v>487</v>
      </c>
      <c r="C508" s="78">
        <v>18874</v>
      </c>
      <c r="D508" s="78">
        <v>617</v>
      </c>
      <c r="E508" s="78">
        <v>752</v>
      </c>
      <c r="F508" s="78">
        <v>552</v>
      </c>
      <c r="G508" s="78">
        <v>1921</v>
      </c>
      <c r="H508" s="78">
        <v>3795</v>
      </c>
      <c r="I508" s="78">
        <v>98</v>
      </c>
      <c r="J508" s="78">
        <v>0</v>
      </c>
      <c r="K508" s="78">
        <v>5814</v>
      </c>
      <c r="L508" s="78">
        <v>662</v>
      </c>
      <c r="M508" s="78">
        <v>845</v>
      </c>
      <c r="N508" s="78">
        <v>1730</v>
      </c>
      <c r="O508" s="78">
        <v>3237</v>
      </c>
      <c r="P508" s="78">
        <v>9744</v>
      </c>
      <c r="Q508" s="78">
        <v>79</v>
      </c>
      <c r="R508" s="78">
        <v>0</v>
      </c>
      <c r="S508" s="78">
        <v>13060</v>
      </c>
      <c r="T508" s="78">
        <v>18884</v>
      </c>
      <c r="U508" s="112">
        <v>0.99947045117559796</v>
      </c>
      <c r="V508" s="112">
        <v>0.99947045117559796</v>
      </c>
      <c r="W508" s="78" t="s">
        <v>292</v>
      </c>
    </row>
    <row r="509" spans="1:23" s="115" customFormat="1" ht="14.45" customHeight="1" x14ac:dyDescent="0.2">
      <c r="A509" s="78" t="s">
        <v>291</v>
      </c>
      <c r="B509" s="78" t="s">
        <v>491</v>
      </c>
      <c r="C509" s="78">
        <v>0</v>
      </c>
      <c r="D509" s="78">
        <v>0</v>
      </c>
      <c r="E509" s="78">
        <v>0</v>
      </c>
      <c r="F509" s="78">
        <v>0</v>
      </c>
      <c r="G509" s="78">
        <v>0</v>
      </c>
      <c r="H509" s="78">
        <v>0</v>
      </c>
      <c r="I509" s="78">
        <v>0</v>
      </c>
      <c r="J509" s="78">
        <v>0</v>
      </c>
      <c r="K509" s="78">
        <v>0</v>
      </c>
      <c r="L509" s="78">
        <v>0</v>
      </c>
      <c r="M509" s="78">
        <v>0</v>
      </c>
      <c r="N509" s="78">
        <v>0</v>
      </c>
      <c r="O509" s="78">
        <v>0</v>
      </c>
      <c r="P509" s="78">
        <v>0</v>
      </c>
      <c r="Q509" s="78">
        <v>0</v>
      </c>
      <c r="R509" s="78">
        <v>0</v>
      </c>
      <c r="S509" s="78">
        <v>0</v>
      </c>
      <c r="T509" s="78">
        <v>98</v>
      </c>
      <c r="U509" s="112">
        <v>0</v>
      </c>
      <c r="V509" s="112">
        <v>0</v>
      </c>
      <c r="W509" s="78" t="s">
        <v>292</v>
      </c>
    </row>
    <row r="510" spans="1:23" s="115" customFormat="1" ht="14.45" customHeight="1" x14ac:dyDescent="0.2">
      <c r="A510" s="78" t="s">
        <v>291</v>
      </c>
      <c r="B510" s="78" t="s">
        <v>486</v>
      </c>
      <c r="C510" s="78">
        <v>192452</v>
      </c>
      <c r="D510" s="78">
        <v>1310</v>
      </c>
      <c r="E510" s="78">
        <v>2575</v>
      </c>
      <c r="F510" s="78">
        <v>1759</v>
      </c>
      <c r="G510" s="78">
        <v>5644</v>
      </c>
      <c r="H510" s="78">
        <v>10368</v>
      </c>
      <c r="I510" s="78">
        <v>1038</v>
      </c>
      <c r="J510" s="78">
        <v>78093</v>
      </c>
      <c r="K510" s="78">
        <v>95143</v>
      </c>
      <c r="L510" s="78">
        <v>1417</v>
      </c>
      <c r="M510" s="78">
        <v>2776</v>
      </c>
      <c r="N510" s="78">
        <v>5414</v>
      </c>
      <c r="O510" s="78">
        <v>9607</v>
      </c>
      <c r="P510" s="78">
        <v>17738</v>
      </c>
      <c r="Q510" s="78">
        <v>921</v>
      </c>
      <c r="R510" s="78">
        <v>69043</v>
      </c>
      <c r="S510" s="78">
        <v>97309</v>
      </c>
      <c r="T510" s="78">
        <v>192507</v>
      </c>
      <c r="U510" s="112">
        <v>0.23539923223571099</v>
      </c>
      <c r="V510" s="112">
        <v>0.99971429610351803</v>
      </c>
      <c r="W510" s="78" t="s">
        <v>292</v>
      </c>
    </row>
    <row r="511" spans="1:23" s="115" customFormat="1" ht="14.45" customHeight="1" x14ac:dyDescent="0.2">
      <c r="A511" s="78" t="s">
        <v>429</v>
      </c>
      <c r="B511" s="78" t="s">
        <v>487</v>
      </c>
      <c r="C511" s="78">
        <v>4861</v>
      </c>
      <c r="D511" s="78">
        <v>249</v>
      </c>
      <c r="E511" s="78">
        <v>648</v>
      </c>
      <c r="F511" s="78">
        <v>456</v>
      </c>
      <c r="G511" s="78">
        <v>1353</v>
      </c>
      <c r="H511" s="78">
        <v>1047</v>
      </c>
      <c r="I511" s="78">
        <v>85</v>
      </c>
      <c r="J511" s="78">
        <v>0</v>
      </c>
      <c r="K511" s="78">
        <v>2485</v>
      </c>
      <c r="L511" s="78">
        <v>257</v>
      </c>
      <c r="M511" s="78">
        <v>591</v>
      </c>
      <c r="N511" s="78">
        <v>492</v>
      </c>
      <c r="O511" s="78">
        <v>1340</v>
      </c>
      <c r="P511" s="78">
        <v>918</v>
      </c>
      <c r="Q511" s="78">
        <v>118</v>
      </c>
      <c r="R511" s="78">
        <v>0</v>
      </c>
      <c r="S511" s="78">
        <v>2376</v>
      </c>
      <c r="T511" s="78">
        <v>4861</v>
      </c>
      <c r="U511" s="112">
        <v>1</v>
      </c>
      <c r="V511" s="112">
        <v>1</v>
      </c>
      <c r="W511" s="78" t="s">
        <v>293</v>
      </c>
    </row>
    <row r="512" spans="1:23" s="115" customFormat="1" ht="14.45" customHeight="1" x14ac:dyDescent="0.2">
      <c r="A512" s="78" t="s">
        <v>429</v>
      </c>
      <c r="B512" s="78" t="s">
        <v>493</v>
      </c>
      <c r="C512" s="78">
        <v>0</v>
      </c>
      <c r="D512" s="78">
        <v>0</v>
      </c>
      <c r="E512" s="78">
        <v>0</v>
      </c>
      <c r="F512" s="78">
        <v>0</v>
      </c>
      <c r="G512" s="78">
        <v>0</v>
      </c>
      <c r="H512" s="78">
        <v>0</v>
      </c>
      <c r="I512" s="78">
        <v>0</v>
      </c>
      <c r="J512" s="78">
        <v>0</v>
      </c>
      <c r="K512" s="78">
        <v>0</v>
      </c>
      <c r="L512" s="78">
        <v>0</v>
      </c>
      <c r="M512" s="78">
        <v>0</v>
      </c>
      <c r="N512" s="78">
        <v>0</v>
      </c>
      <c r="O512" s="78">
        <v>0</v>
      </c>
      <c r="P512" s="78">
        <v>0</v>
      </c>
      <c r="Q512" s="78">
        <v>0</v>
      </c>
      <c r="R512" s="78">
        <v>0</v>
      </c>
      <c r="S512" s="78">
        <v>0</v>
      </c>
      <c r="T512" s="78">
        <v>155325</v>
      </c>
      <c r="U512" s="112">
        <v>0</v>
      </c>
      <c r="V512" s="112">
        <v>0</v>
      </c>
      <c r="W512" s="78" t="s">
        <v>293</v>
      </c>
    </row>
    <row r="513" spans="1:23" s="115" customFormat="1" ht="14.45" customHeight="1" x14ac:dyDescent="0.2">
      <c r="A513" s="78" t="s">
        <v>429</v>
      </c>
      <c r="B513" s="78" t="s">
        <v>489</v>
      </c>
      <c r="C513" s="78">
        <v>0</v>
      </c>
      <c r="D513" s="78">
        <v>0</v>
      </c>
      <c r="E513" s="78">
        <v>0</v>
      </c>
      <c r="F513" s="78">
        <v>0</v>
      </c>
      <c r="G513" s="78">
        <v>0</v>
      </c>
      <c r="H513" s="78">
        <v>0</v>
      </c>
      <c r="I513" s="78">
        <v>0</v>
      </c>
      <c r="J513" s="78">
        <v>0</v>
      </c>
      <c r="K513" s="78">
        <v>0</v>
      </c>
      <c r="L513" s="78">
        <v>0</v>
      </c>
      <c r="M513" s="78">
        <v>0</v>
      </c>
      <c r="N513" s="78">
        <v>0</v>
      </c>
      <c r="O513" s="78">
        <v>0</v>
      </c>
      <c r="P513" s="78">
        <v>0</v>
      </c>
      <c r="Q513" s="78">
        <v>0</v>
      </c>
      <c r="R513" s="78">
        <v>0</v>
      </c>
      <c r="S513" s="78">
        <v>0</v>
      </c>
      <c r="T513" s="78">
        <v>7248188</v>
      </c>
      <c r="U513" s="112">
        <v>0</v>
      </c>
      <c r="V513" s="112">
        <v>0</v>
      </c>
      <c r="W513" s="78" t="s">
        <v>293</v>
      </c>
    </row>
    <row r="514" spans="1:23" s="115" customFormat="1" ht="14.45" customHeight="1" x14ac:dyDescent="0.2">
      <c r="A514" s="78" t="s">
        <v>429</v>
      </c>
      <c r="B514" s="78" t="s">
        <v>492</v>
      </c>
      <c r="C514" s="78">
        <v>0</v>
      </c>
      <c r="D514" s="78">
        <v>0</v>
      </c>
      <c r="E514" s="78">
        <v>0</v>
      </c>
      <c r="F514" s="78">
        <v>0</v>
      </c>
      <c r="G514" s="78">
        <v>0</v>
      </c>
      <c r="H514" s="78">
        <v>0</v>
      </c>
      <c r="I514" s="78">
        <v>0</v>
      </c>
      <c r="J514" s="78">
        <v>0</v>
      </c>
      <c r="K514" s="78">
        <v>0</v>
      </c>
      <c r="L514" s="78">
        <v>0</v>
      </c>
      <c r="M514" s="78">
        <v>0</v>
      </c>
      <c r="N514" s="78">
        <v>0</v>
      </c>
      <c r="O514" s="78">
        <v>0</v>
      </c>
      <c r="P514" s="78">
        <v>0</v>
      </c>
      <c r="Q514" s="78">
        <v>0</v>
      </c>
      <c r="R514" s="78">
        <v>0</v>
      </c>
      <c r="S514" s="78">
        <v>0</v>
      </c>
      <c r="T514" s="78">
        <v>37552</v>
      </c>
      <c r="U514" s="112">
        <v>0</v>
      </c>
      <c r="V514" s="112">
        <v>0</v>
      </c>
      <c r="W514" s="78" t="s">
        <v>293</v>
      </c>
    </row>
    <row r="515" spans="1:23" s="115" customFormat="1" ht="14.45" customHeight="1" x14ac:dyDescent="0.2">
      <c r="A515" s="78" t="s">
        <v>429</v>
      </c>
      <c r="B515" s="78" t="s">
        <v>486</v>
      </c>
      <c r="C515" s="78">
        <v>12011</v>
      </c>
      <c r="D515" s="78">
        <v>416</v>
      </c>
      <c r="E515" s="78">
        <v>904</v>
      </c>
      <c r="F515" s="78">
        <v>967</v>
      </c>
      <c r="G515" s="78">
        <v>2287</v>
      </c>
      <c r="H515" s="78">
        <v>3395</v>
      </c>
      <c r="I515" s="78">
        <v>470</v>
      </c>
      <c r="J515" s="78">
        <v>0</v>
      </c>
      <c r="K515" s="78">
        <v>6152</v>
      </c>
      <c r="L515" s="78">
        <v>445</v>
      </c>
      <c r="M515" s="78">
        <v>954</v>
      </c>
      <c r="N515" s="78">
        <v>906</v>
      </c>
      <c r="O515" s="78">
        <v>2305</v>
      </c>
      <c r="P515" s="78">
        <v>2790</v>
      </c>
      <c r="Q515" s="78">
        <v>764</v>
      </c>
      <c r="R515" s="78">
        <v>0</v>
      </c>
      <c r="S515" s="78">
        <v>5859</v>
      </c>
      <c r="T515" s="78">
        <v>12011</v>
      </c>
      <c r="U515" s="112">
        <v>1</v>
      </c>
      <c r="V515" s="112">
        <v>1</v>
      </c>
      <c r="W515" s="78" t="s">
        <v>293</v>
      </c>
    </row>
    <row r="516" spans="1:23" s="115" customFormat="1" ht="14.45" customHeight="1" x14ac:dyDescent="0.2">
      <c r="A516" s="78" t="s">
        <v>429</v>
      </c>
      <c r="B516" s="78" t="s">
        <v>490</v>
      </c>
      <c r="C516" s="78">
        <v>0</v>
      </c>
      <c r="D516" s="78">
        <v>0</v>
      </c>
      <c r="E516" s="78">
        <v>0</v>
      </c>
      <c r="F516" s="78">
        <v>0</v>
      </c>
      <c r="G516" s="78">
        <v>0</v>
      </c>
      <c r="H516" s="78">
        <v>0</v>
      </c>
      <c r="I516" s="78">
        <v>0</v>
      </c>
      <c r="J516" s="78">
        <v>0</v>
      </c>
      <c r="K516" s="78">
        <v>0</v>
      </c>
      <c r="L516" s="78">
        <v>0</v>
      </c>
      <c r="M516" s="78">
        <v>0</v>
      </c>
      <c r="N516" s="78">
        <v>0</v>
      </c>
      <c r="O516" s="78">
        <v>0</v>
      </c>
      <c r="P516" s="78">
        <v>0</v>
      </c>
      <c r="Q516" s="78">
        <v>0</v>
      </c>
      <c r="R516" s="78">
        <v>0</v>
      </c>
      <c r="S516" s="78">
        <v>0</v>
      </c>
      <c r="T516" s="78">
        <v>160000</v>
      </c>
      <c r="U516" s="112">
        <v>0</v>
      </c>
      <c r="V516" s="112">
        <v>0</v>
      </c>
      <c r="W516" s="78" t="s">
        <v>293</v>
      </c>
    </row>
    <row r="517" spans="1:23" s="115" customFormat="1" ht="14.45" customHeight="1" x14ac:dyDescent="0.2">
      <c r="A517" s="78" t="s">
        <v>294</v>
      </c>
      <c r="B517" s="78" t="s">
        <v>487</v>
      </c>
      <c r="C517" s="78">
        <v>1387</v>
      </c>
      <c r="D517" s="78">
        <v>63</v>
      </c>
      <c r="E517" s="78">
        <v>86</v>
      </c>
      <c r="F517" s="78">
        <v>69</v>
      </c>
      <c r="G517" s="78">
        <v>218</v>
      </c>
      <c r="H517" s="78">
        <v>377</v>
      </c>
      <c r="I517" s="78">
        <v>31</v>
      </c>
      <c r="J517" s="78">
        <v>0</v>
      </c>
      <c r="K517" s="78">
        <v>626</v>
      </c>
      <c r="L517" s="78">
        <v>67</v>
      </c>
      <c r="M517" s="78">
        <v>112</v>
      </c>
      <c r="N517" s="78">
        <v>91</v>
      </c>
      <c r="O517" s="78">
        <v>270</v>
      </c>
      <c r="P517" s="78">
        <v>461</v>
      </c>
      <c r="Q517" s="78">
        <v>30</v>
      </c>
      <c r="R517" s="78">
        <v>0</v>
      </c>
      <c r="S517" s="78">
        <v>761</v>
      </c>
      <c r="T517" s="78">
        <v>1387</v>
      </c>
      <c r="U517" s="112">
        <v>1</v>
      </c>
      <c r="V517" s="112">
        <v>1</v>
      </c>
      <c r="W517" s="78" t="s">
        <v>295</v>
      </c>
    </row>
    <row r="518" spans="1:23" s="115" customFormat="1" ht="14.45" customHeight="1" x14ac:dyDescent="0.2">
      <c r="A518" s="78" t="s">
        <v>294</v>
      </c>
      <c r="B518" s="78" t="s">
        <v>486</v>
      </c>
      <c r="C518" s="78">
        <v>7092</v>
      </c>
      <c r="D518" s="78">
        <v>181</v>
      </c>
      <c r="E518" s="78">
        <v>543</v>
      </c>
      <c r="F518" s="78">
        <v>445</v>
      </c>
      <c r="G518" s="78">
        <v>1169</v>
      </c>
      <c r="H518" s="78">
        <v>2126</v>
      </c>
      <c r="I518" s="78">
        <v>193</v>
      </c>
      <c r="J518" s="78">
        <v>0</v>
      </c>
      <c r="K518" s="78">
        <v>3488</v>
      </c>
      <c r="L518" s="78">
        <v>240</v>
      </c>
      <c r="M518" s="78">
        <v>567</v>
      </c>
      <c r="N518" s="78">
        <v>512</v>
      </c>
      <c r="O518" s="78">
        <v>1319</v>
      </c>
      <c r="P518" s="78">
        <v>2047</v>
      </c>
      <c r="Q518" s="78">
        <v>238</v>
      </c>
      <c r="R518" s="78">
        <v>0</v>
      </c>
      <c r="S518" s="78">
        <v>3604</v>
      </c>
      <c r="T518" s="78">
        <v>10092</v>
      </c>
      <c r="U518" s="112">
        <v>0.70273483947681303</v>
      </c>
      <c r="V518" s="112">
        <v>0.70273483947681303</v>
      </c>
      <c r="W518" s="78" t="s">
        <v>295</v>
      </c>
    </row>
    <row r="519" spans="1:23" s="115" customFormat="1" ht="14.45" customHeight="1" x14ac:dyDescent="0.2">
      <c r="A519" s="78" t="s">
        <v>294</v>
      </c>
      <c r="B519" s="78" t="s">
        <v>490</v>
      </c>
      <c r="C519" s="78">
        <v>2985</v>
      </c>
      <c r="D519" s="78">
        <v>0</v>
      </c>
      <c r="E519" s="78">
        <v>0</v>
      </c>
      <c r="F519" s="78">
        <v>0</v>
      </c>
      <c r="G519" s="78">
        <v>0</v>
      </c>
      <c r="H519" s="78">
        <v>0</v>
      </c>
      <c r="I519" s="78">
        <v>0</v>
      </c>
      <c r="J519" s="78">
        <v>2114</v>
      </c>
      <c r="K519" s="78">
        <v>2114</v>
      </c>
      <c r="L519" s="78">
        <v>0</v>
      </c>
      <c r="M519" s="78">
        <v>0</v>
      </c>
      <c r="N519" s="78">
        <v>0</v>
      </c>
      <c r="O519" s="78">
        <v>0</v>
      </c>
      <c r="P519" s="78">
        <v>0</v>
      </c>
      <c r="Q519" s="78">
        <v>0</v>
      </c>
      <c r="R519" s="78">
        <v>871</v>
      </c>
      <c r="S519" s="78">
        <v>871</v>
      </c>
      <c r="T519" s="78">
        <v>3827</v>
      </c>
      <c r="U519" s="112">
        <v>0</v>
      </c>
      <c r="V519" s="112">
        <v>0.77998432192317702</v>
      </c>
      <c r="W519" s="78" t="s">
        <v>295</v>
      </c>
    </row>
    <row r="520" spans="1:23" s="115" customFormat="1" ht="14.45" customHeight="1" x14ac:dyDescent="0.2">
      <c r="A520" s="78" t="s">
        <v>430</v>
      </c>
      <c r="B520" s="78" t="s">
        <v>487</v>
      </c>
      <c r="C520" s="78">
        <v>1674</v>
      </c>
      <c r="D520" s="78">
        <v>77</v>
      </c>
      <c r="E520" s="78">
        <v>106</v>
      </c>
      <c r="F520" s="78">
        <v>82</v>
      </c>
      <c r="G520" s="78">
        <v>265</v>
      </c>
      <c r="H520" s="78">
        <v>415</v>
      </c>
      <c r="I520" s="78">
        <v>23</v>
      </c>
      <c r="J520" s="78">
        <v>0</v>
      </c>
      <c r="K520" s="78">
        <v>703</v>
      </c>
      <c r="L520" s="78">
        <v>84</v>
      </c>
      <c r="M520" s="78">
        <v>127</v>
      </c>
      <c r="N520" s="78">
        <v>85</v>
      </c>
      <c r="O520" s="78">
        <v>296</v>
      </c>
      <c r="P520" s="78">
        <v>646</v>
      </c>
      <c r="Q520" s="78">
        <v>29</v>
      </c>
      <c r="R520" s="78">
        <v>0</v>
      </c>
      <c r="S520" s="78">
        <v>971</v>
      </c>
      <c r="T520" s="78">
        <v>1674</v>
      </c>
      <c r="U520" s="112">
        <v>1</v>
      </c>
      <c r="V520" s="112">
        <v>1</v>
      </c>
      <c r="W520" s="78" t="s">
        <v>296</v>
      </c>
    </row>
    <row r="521" spans="1:23" s="115" customFormat="1" ht="14.45" customHeight="1" x14ac:dyDescent="0.2">
      <c r="A521" s="78" t="s">
        <v>430</v>
      </c>
      <c r="B521" s="78" t="s">
        <v>491</v>
      </c>
      <c r="C521" s="78">
        <v>584</v>
      </c>
      <c r="D521" s="78">
        <v>0</v>
      </c>
      <c r="E521" s="78">
        <v>13</v>
      </c>
      <c r="F521" s="78">
        <v>48</v>
      </c>
      <c r="G521" s="78">
        <v>61</v>
      </c>
      <c r="H521" s="78">
        <v>140</v>
      </c>
      <c r="I521" s="78">
        <v>0</v>
      </c>
      <c r="J521" s="78">
        <v>0</v>
      </c>
      <c r="K521" s="78">
        <v>201</v>
      </c>
      <c r="L521" s="78">
        <v>0</v>
      </c>
      <c r="M521" s="78">
        <v>16</v>
      </c>
      <c r="N521" s="78">
        <v>49</v>
      </c>
      <c r="O521" s="78">
        <v>65</v>
      </c>
      <c r="P521" s="78">
        <v>318</v>
      </c>
      <c r="Q521" s="78">
        <v>0</v>
      </c>
      <c r="R521" s="78">
        <v>0</v>
      </c>
      <c r="S521" s="78">
        <v>383</v>
      </c>
      <c r="T521" s="78">
        <v>584</v>
      </c>
      <c r="U521" s="112">
        <v>1</v>
      </c>
      <c r="V521" s="112">
        <v>1</v>
      </c>
      <c r="W521" s="78" t="s">
        <v>296</v>
      </c>
    </row>
    <row r="522" spans="1:23" s="115" customFormat="1" ht="14.45" customHeight="1" x14ac:dyDescent="0.2">
      <c r="A522" s="78" t="s">
        <v>430</v>
      </c>
      <c r="B522" s="78" t="s">
        <v>486</v>
      </c>
      <c r="C522" s="78">
        <v>85895</v>
      </c>
      <c r="D522" s="78">
        <v>4020</v>
      </c>
      <c r="E522" s="78">
        <v>6517</v>
      </c>
      <c r="F522" s="78">
        <v>5896</v>
      </c>
      <c r="G522" s="78">
        <v>16433</v>
      </c>
      <c r="H522" s="78">
        <v>24030</v>
      </c>
      <c r="I522" s="78">
        <v>2672</v>
      </c>
      <c r="J522" s="78">
        <v>0</v>
      </c>
      <c r="K522" s="78">
        <v>43135</v>
      </c>
      <c r="L522" s="78">
        <v>4214</v>
      </c>
      <c r="M522" s="78">
        <v>6941</v>
      </c>
      <c r="N522" s="78">
        <v>6042</v>
      </c>
      <c r="O522" s="78">
        <v>17197</v>
      </c>
      <c r="P522" s="78">
        <v>23105</v>
      </c>
      <c r="Q522" s="78">
        <v>2458</v>
      </c>
      <c r="R522" s="78">
        <v>0</v>
      </c>
      <c r="S522" s="78">
        <v>42760</v>
      </c>
      <c r="T522" s="78">
        <v>87314</v>
      </c>
      <c r="U522" s="112">
        <v>0.98374831069473401</v>
      </c>
      <c r="V522" s="112">
        <v>0.98374831069473401</v>
      </c>
      <c r="W522" s="78" t="s">
        <v>296</v>
      </c>
    </row>
    <row r="523" spans="1:23" s="115" customFormat="1" ht="14.45" customHeight="1" x14ac:dyDescent="0.2">
      <c r="A523" s="78" t="s">
        <v>430</v>
      </c>
      <c r="B523" s="78" t="s">
        <v>490</v>
      </c>
      <c r="C523" s="78">
        <v>586548</v>
      </c>
      <c r="D523" s="78">
        <v>22988</v>
      </c>
      <c r="E523" s="78">
        <v>33054</v>
      </c>
      <c r="F523" s="78">
        <v>23334</v>
      </c>
      <c r="G523" s="78">
        <v>79376</v>
      </c>
      <c r="H523" s="78">
        <v>184340</v>
      </c>
      <c r="I523" s="78">
        <v>29014</v>
      </c>
      <c r="J523" s="78">
        <v>0</v>
      </c>
      <c r="K523" s="78">
        <v>292730</v>
      </c>
      <c r="L523" s="78">
        <v>24794</v>
      </c>
      <c r="M523" s="78">
        <v>35207</v>
      </c>
      <c r="N523" s="78">
        <v>25066</v>
      </c>
      <c r="O523" s="78">
        <v>85067</v>
      </c>
      <c r="P523" s="78">
        <v>182030</v>
      </c>
      <c r="Q523" s="78">
        <v>26721</v>
      </c>
      <c r="R523" s="78">
        <v>0</v>
      </c>
      <c r="S523" s="78">
        <v>293818</v>
      </c>
      <c r="T523" s="78">
        <v>586548</v>
      </c>
      <c r="U523" s="112">
        <v>1</v>
      </c>
      <c r="V523" s="112">
        <v>1</v>
      </c>
      <c r="W523" s="78" t="s">
        <v>296</v>
      </c>
    </row>
    <row r="524" spans="1:23" s="115" customFormat="1" ht="14.45" customHeight="1" x14ac:dyDescent="0.2">
      <c r="A524" s="78" t="s">
        <v>297</v>
      </c>
      <c r="B524" s="78" t="s">
        <v>487</v>
      </c>
      <c r="C524" s="78">
        <v>4400</v>
      </c>
      <c r="D524" s="78">
        <v>351</v>
      </c>
      <c r="E524" s="78">
        <v>831</v>
      </c>
      <c r="F524" s="78">
        <v>240</v>
      </c>
      <c r="G524" s="78">
        <v>1422</v>
      </c>
      <c r="H524" s="78">
        <v>1167</v>
      </c>
      <c r="I524" s="78">
        <v>86</v>
      </c>
      <c r="J524" s="78">
        <v>0</v>
      </c>
      <c r="K524" s="78">
        <v>2675</v>
      </c>
      <c r="L524" s="78">
        <v>314</v>
      </c>
      <c r="M524" s="78">
        <v>719</v>
      </c>
      <c r="N524" s="78">
        <v>201</v>
      </c>
      <c r="O524" s="78">
        <v>1234</v>
      </c>
      <c r="P524" s="78">
        <v>425</v>
      </c>
      <c r="Q524" s="78">
        <v>66</v>
      </c>
      <c r="R524" s="78">
        <v>0</v>
      </c>
      <c r="S524" s="78">
        <v>1725</v>
      </c>
      <c r="T524" s="78">
        <v>4400</v>
      </c>
      <c r="U524" s="112">
        <v>1</v>
      </c>
      <c r="V524" s="112">
        <v>1</v>
      </c>
      <c r="W524" s="78" t="s">
        <v>298</v>
      </c>
    </row>
    <row r="525" spans="1:23" s="115" customFormat="1" ht="14.45" customHeight="1" x14ac:dyDescent="0.2">
      <c r="A525" s="78" t="s">
        <v>297</v>
      </c>
      <c r="B525" s="78" t="s">
        <v>489</v>
      </c>
      <c r="C525" s="78">
        <v>0</v>
      </c>
      <c r="D525" s="78">
        <v>0</v>
      </c>
      <c r="E525" s="78">
        <v>0</v>
      </c>
      <c r="F525" s="78">
        <v>0</v>
      </c>
      <c r="G525" s="78">
        <v>0</v>
      </c>
      <c r="H525" s="78">
        <v>0</v>
      </c>
      <c r="I525" s="78">
        <v>0</v>
      </c>
      <c r="J525" s="78">
        <v>0</v>
      </c>
      <c r="K525" s="78">
        <v>0</v>
      </c>
      <c r="L525" s="78">
        <v>0</v>
      </c>
      <c r="M525" s="78">
        <v>0</v>
      </c>
      <c r="N525" s="78">
        <v>0</v>
      </c>
      <c r="O525" s="78">
        <v>0</v>
      </c>
      <c r="P525" s="78">
        <v>0</v>
      </c>
      <c r="Q525" s="78">
        <v>0</v>
      </c>
      <c r="R525" s="78">
        <v>0</v>
      </c>
      <c r="S525" s="78">
        <v>0</v>
      </c>
      <c r="T525" s="78">
        <v>9680</v>
      </c>
      <c r="U525" s="112">
        <v>0</v>
      </c>
      <c r="V525" s="112">
        <v>0</v>
      </c>
      <c r="W525" s="78" t="s">
        <v>298</v>
      </c>
    </row>
    <row r="526" spans="1:23" s="115" customFormat="1" ht="14.45" customHeight="1" x14ac:dyDescent="0.2">
      <c r="A526" s="78" t="s">
        <v>297</v>
      </c>
      <c r="B526" s="78" t="s">
        <v>486</v>
      </c>
      <c r="C526" s="78">
        <v>28240</v>
      </c>
      <c r="D526" s="78">
        <v>1731</v>
      </c>
      <c r="E526" s="78">
        <v>3514</v>
      </c>
      <c r="F526" s="78">
        <v>2763</v>
      </c>
      <c r="G526" s="78">
        <v>8008</v>
      </c>
      <c r="H526" s="78">
        <v>7978</v>
      </c>
      <c r="I526" s="78">
        <v>881</v>
      </c>
      <c r="J526" s="78">
        <v>0</v>
      </c>
      <c r="K526" s="78">
        <v>16867</v>
      </c>
      <c r="L526" s="78">
        <v>1669</v>
      </c>
      <c r="M526" s="78">
        <v>3471</v>
      </c>
      <c r="N526" s="78">
        <v>2304</v>
      </c>
      <c r="O526" s="78">
        <v>7444</v>
      </c>
      <c r="P526" s="78">
        <v>3411</v>
      </c>
      <c r="Q526" s="78">
        <v>518</v>
      </c>
      <c r="R526" s="78">
        <v>0</v>
      </c>
      <c r="S526" s="78">
        <v>11373</v>
      </c>
      <c r="T526" s="78">
        <v>28240</v>
      </c>
      <c r="U526" s="112">
        <v>1</v>
      </c>
      <c r="V526" s="112">
        <v>1</v>
      </c>
      <c r="W526" s="78" t="s">
        <v>298</v>
      </c>
    </row>
    <row r="527" spans="1:23" s="115" customFormat="1" ht="14.45" customHeight="1" x14ac:dyDescent="0.2">
      <c r="A527" s="78" t="s">
        <v>299</v>
      </c>
      <c r="B527" s="78" t="s">
        <v>487</v>
      </c>
      <c r="C527" s="78">
        <v>28601</v>
      </c>
      <c r="D527" s="78">
        <v>326</v>
      </c>
      <c r="E527" s="78">
        <v>1509</v>
      </c>
      <c r="F527" s="78">
        <v>1005</v>
      </c>
      <c r="G527" s="78">
        <v>2840</v>
      </c>
      <c r="H527" s="78">
        <v>10592</v>
      </c>
      <c r="I527" s="78">
        <v>195</v>
      </c>
      <c r="J527" s="78">
        <v>0</v>
      </c>
      <c r="K527" s="78">
        <v>13627</v>
      </c>
      <c r="L527" s="78">
        <v>290</v>
      </c>
      <c r="M527" s="78">
        <v>1568</v>
      </c>
      <c r="N527" s="78">
        <v>996</v>
      </c>
      <c r="O527" s="78">
        <v>2854</v>
      </c>
      <c r="P527" s="78">
        <v>10962</v>
      </c>
      <c r="Q527" s="78">
        <v>246</v>
      </c>
      <c r="R527" s="78">
        <v>912</v>
      </c>
      <c r="S527" s="78">
        <v>14974</v>
      </c>
      <c r="T527" s="78">
        <v>28617</v>
      </c>
      <c r="U527" s="112">
        <v>0.96757172310165296</v>
      </c>
      <c r="V527" s="112">
        <v>0.99944089177761497</v>
      </c>
      <c r="W527" s="78" t="s">
        <v>300</v>
      </c>
    </row>
    <row r="528" spans="1:23" s="115" customFormat="1" ht="14.45" customHeight="1" x14ac:dyDescent="0.2">
      <c r="A528" s="78" t="s">
        <v>299</v>
      </c>
      <c r="B528" s="78" t="s">
        <v>488</v>
      </c>
      <c r="C528" s="78">
        <v>0</v>
      </c>
      <c r="D528" s="78">
        <v>0</v>
      </c>
      <c r="E528" s="78">
        <v>0</v>
      </c>
      <c r="F528" s="78">
        <v>0</v>
      </c>
      <c r="G528" s="78">
        <v>0</v>
      </c>
      <c r="H528" s="78">
        <v>0</v>
      </c>
      <c r="I528" s="78">
        <v>0</v>
      </c>
      <c r="J528" s="78">
        <v>0</v>
      </c>
      <c r="K528" s="78">
        <v>0</v>
      </c>
      <c r="L528" s="78">
        <v>0</v>
      </c>
      <c r="M528" s="78">
        <v>0</v>
      </c>
      <c r="N528" s="78">
        <v>0</v>
      </c>
      <c r="O528" s="78">
        <v>0</v>
      </c>
      <c r="P528" s="78">
        <v>0</v>
      </c>
      <c r="Q528" s="78">
        <v>0</v>
      </c>
      <c r="R528" s="78">
        <v>0</v>
      </c>
      <c r="S528" s="78">
        <v>0</v>
      </c>
      <c r="T528" s="78">
        <v>7906</v>
      </c>
      <c r="U528" s="112">
        <v>0</v>
      </c>
      <c r="V528" s="112">
        <v>0</v>
      </c>
      <c r="W528" s="78" t="s">
        <v>300</v>
      </c>
    </row>
    <row r="529" spans="1:23" s="115" customFormat="1" ht="14.45" customHeight="1" x14ac:dyDescent="0.2">
      <c r="A529" s="78" t="s">
        <v>299</v>
      </c>
      <c r="B529" s="78" t="s">
        <v>491</v>
      </c>
      <c r="C529" s="78">
        <v>1040</v>
      </c>
      <c r="D529" s="78">
        <v>438</v>
      </c>
      <c r="E529" s="78">
        <v>72</v>
      </c>
      <c r="F529" s="78">
        <v>5</v>
      </c>
      <c r="G529" s="78">
        <v>515</v>
      </c>
      <c r="H529" s="78">
        <v>0</v>
      </c>
      <c r="I529" s="78">
        <v>0</v>
      </c>
      <c r="J529" s="78">
        <v>0</v>
      </c>
      <c r="K529" s="78">
        <v>515</v>
      </c>
      <c r="L529" s="78">
        <v>450</v>
      </c>
      <c r="M529" s="78">
        <v>65</v>
      </c>
      <c r="N529" s="78">
        <v>5</v>
      </c>
      <c r="O529" s="78">
        <v>520</v>
      </c>
      <c r="P529" s="78">
        <v>5</v>
      </c>
      <c r="Q529" s="78">
        <v>0</v>
      </c>
      <c r="R529" s="78">
        <v>0</v>
      </c>
      <c r="S529" s="78">
        <v>525</v>
      </c>
      <c r="T529" s="78">
        <v>1040</v>
      </c>
      <c r="U529" s="112">
        <v>1</v>
      </c>
      <c r="V529" s="112">
        <v>1</v>
      </c>
      <c r="W529" s="78" t="s">
        <v>300</v>
      </c>
    </row>
    <row r="530" spans="1:23" s="115" customFormat="1" ht="14.45" customHeight="1" x14ac:dyDescent="0.2">
      <c r="A530" s="78" t="s">
        <v>299</v>
      </c>
      <c r="B530" s="78" t="s">
        <v>486</v>
      </c>
      <c r="C530" s="78">
        <v>3205</v>
      </c>
      <c r="D530" s="78">
        <v>23</v>
      </c>
      <c r="E530" s="78">
        <v>195</v>
      </c>
      <c r="F530" s="78">
        <v>141</v>
      </c>
      <c r="G530" s="78">
        <v>359</v>
      </c>
      <c r="H530" s="78">
        <v>1293</v>
      </c>
      <c r="I530" s="78">
        <v>44</v>
      </c>
      <c r="J530" s="78">
        <v>0</v>
      </c>
      <c r="K530" s="78">
        <v>1696</v>
      </c>
      <c r="L530" s="78">
        <v>9</v>
      </c>
      <c r="M530" s="78">
        <v>192</v>
      </c>
      <c r="N530" s="78">
        <v>146</v>
      </c>
      <c r="O530" s="78">
        <v>347</v>
      </c>
      <c r="P530" s="78">
        <v>1118</v>
      </c>
      <c r="Q530" s="78">
        <v>44</v>
      </c>
      <c r="R530" s="78">
        <v>0</v>
      </c>
      <c r="S530" s="78">
        <v>1509</v>
      </c>
      <c r="T530" s="78">
        <v>3205</v>
      </c>
      <c r="U530" s="112">
        <v>1</v>
      </c>
      <c r="V530" s="112">
        <v>1</v>
      </c>
      <c r="W530" s="78" t="s">
        <v>300</v>
      </c>
    </row>
    <row r="531" spans="1:23" s="115" customFormat="1" ht="14.45" customHeight="1" x14ac:dyDescent="0.2">
      <c r="A531" s="78" t="s">
        <v>301</v>
      </c>
      <c r="B531" s="78" t="s">
        <v>487</v>
      </c>
      <c r="C531" s="78">
        <v>11093</v>
      </c>
      <c r="D531" s="78">
        <v>234</v>
      </c>
      <c r="E531" s="78">
        <v>110</v>
      </c>
      <c r="F531" s="78">
        <v>69</v>
      </c>
      <c r="G531" s="78">
        <v>413</v>
      </c>
      <c r="H531" s="78">
        <v>1666</v>
      </c>
      <c r="I531" s="78">
        <v>5</v>
      </c>
      <c r="J531" s="78">
        <v>0</v>
      </c>
      <c r="K531" s="78">
        <v>2084</v>
      </c>
      <c r="L531" s="78">
        <v>243</v>
      </c>
      <c r="M531" s="78">
        <v>90</v>
      </c>
      <c r="N531" s="78">
        <v>926</v>
      </c>
      <c r="O531" s="78">
        <v>1259</v>
      </c>
      <c r="P531" s="78">
        <v>7745</v>
      </c>
      <c r="Q531" s="78">
        <v>5</v>
      </c>
      <c r="R531" s="78">
        <v>0</v>
      </c>
      <c r="S531" s="78">
        <v>9009</v>
      </c>
      <c r="T531" s="78">
        <v>11093</v>
      </c>
      <c r="U531" s="112">
        <v>1</v>
      </c>
      <c r="V531" s="112">
        <v>1</v>
      </c>
      <c r="W531" s="78" t="s">
        <v>302</v>
      </c>
    </row>
    <row r="532" spans="1:23" s="115" customFormat="1" ht="14.45" customHeight="1" x14ac:dyDescent="0.2">
      <c r="A532" s="78" t="s">
        <v>301</v>
      </c>
      <c r="B532" s="78" t="s">
        <v>491</v>
      </c>
      <c r="C532" s="78">
        <v>23</v>
      </c>
      <c r="D532" s="78">
        <v>0</v>
      </c>
      <c r="E532" s="78">
        <v>9</v>
      </c>
      <c r="F532" s="78">
        <v>0</v>
      </c>
      <c r="G532" s="78">
        <v>9</v>
      </c>
      <c r="H532" s="78">
        <v>5</v>
      </c>
      <c r="I532" s="78">
        <v>0</v>
      </c>
      <c r="J532" s="78">
        <v>0</v>
      </c>
      <c r="K532" s="78">
        <v>14</v>
      </c>
      <c r="L532" s="78">
        <v>0</v>
      </c>
      <c r="M532" s="78">
        <v>0</v>
      </c>
      <c r="N532" s="78">
        <v>0</v>
      </c>
      <c r="O532" s="78">
        <v>0</v>
      </c>
      <c r="P532" s="78">
        <v>9</v>
      </c>
      <c r="Q532" s="78">
        <v>0</v>
      </c>
      <c r="R532" s="78">
        <v>0</v>
      </c>
      <c r="S532" s="78">
        <v>9</v>
      </c>
      <c r="T532" s="78">
        <v>23</v>
      </c>
      <c r="U532" s="112">
        <v>1</v>
      </c>
      <c r="V532" s="112">
        <v>1</v>
      </c>
      <c r="W532" s="78" t="s">
        <v>302</v>
      </c>
    </row>
    <row r="533" spans="1:23" s="115" customFormat="1" ht="14.45" customHeight="1" x14ac:dyDescent="0.2">
      <c r="A533" s="78" t="s">
        <v>301</v>
      </c>
      <c r="B533" s="78" t="s">
        <v>486</v>
      </c>
      <c r="C533" s="78">
        <v>3994</v>
      </c>
      <c r="D533" s="78">
        <v>156</v>
      </c>
      <c r="E533" s="78">
        <v>299</v>
      </c>
      <c r="F533" s="78">
        <v>214</v>
      </c>
      <c r="G533" s="78">
        <v>669</v>
      </c>
      <c r="H533" s="78">
        <v>783</v>
      </c>
      <c r="I533" s="78">
        <v>63</v>
      </c>
      <c r="J533" s="78">
        <v>0</v>
      </c>
      <c r="K533" s="78">
        <v>1515</v>
      </c>
      <c r="L533" s="78">
        <v>161</v>
      </c>
      <c r="M533" s="78">
        <v>301</v>
      </c>
      <c r="N533" s="78">
        <v>299</v>
      </c>
      <c r="O533" s="78">
        <v>761</v>
      </c>
      <c r="P533" s="78">
        <v>1677</v>
      </c>
      <c r="Q533" s="78">
        <v>41</v>
      </c>
      <c r="R533" s="78">
        <v>0</v>
      </c>
      <c r="S533" s="78">
        <v>2479</v>
      </c>
      <c r="T533" s="78">
        <v>3994</v>
      </c>
      <c r="U533" s="112">
        <v>1</v>
      </c>
      <c r="V533" s="112">
        <v>1</v>
      </c>
      <c r="W533" s="78" t="s">
        <v>302</v>
      </c>
    </row>
    <row r="534" spans="1:23" s="115" customFormat="1" ht="14.45" customHeight="1" x14ac:dyDescent="0.2">
      <c r="A534" s="78" t="s">
        <v>435</v>
      </c>
      <c r="B534" s="78" t="s">
        <v>486</v>
      </c>
      <c r="C534" s="78">
        <v>14</v>
      </c>
      <c r="D534" s="78">
        <v>0</v>
      </c>
      <c r="E534" s="78">
        <v>0</v>
      </c>
      <c r="F534" s="78">
        <v>0</v>
      </c>
      <c r="G534" s="78">
        <v>0</v>
      </c>
      <c r="H534" s="78">
        <v>0</v>
      </c>
      <c r="I534" s="78">
        <v>5</v>
      </c>
      <c r="J534" s="78">
        <v>0</v>
      </c>
      <c r="K534" s="78">
        <v>5</v>
      </c>
      <c r="L534" s="78">
        <v>0</v>
      </c>
      <c r="M534" s="78">
        <v>0</v>
      </c>
      <c r="N534" s="78">
        <v>0</v>
      </c>
      <c r="O534" s="78">
        <v>0</v>
      </c>
      <c r="P534" s="78">
        <v>9</v>
      </c>
      <c r="Q534" s="78">
        <v>0</v>
      </c>
      <c r="R534" s="78">
        <v>0</v>
      </c>
      <c r="S534" s="78">
        <v>9</v>
      </c>
      <c r="T534" s="78">
        <v>3614</v>
      </c>
      <c r="U534" s="112">
        <v>3.87382401770891E-3</v>
      </c>
      <c r="V534" s="112">
        <v>3.87382401770891E-3</v>
      </c>
      <c r="W534" s="78" t="s">
        <v>305</v>
      </c>
    </row>
    <row r="535" spans="1:23" s="115" customFormat="1" ht="14.45" customHeight="1" x14ac:dyDescent="0.2">
      <c r="A535" s="78" t="s">
        <v>435</v>
      </c>
      <c r="B535" s="78" t="s">
        <v>490</v>
      </c>
      <c r="C535" s="78">
        <v>3583</v>
      </c>
      <c r="D535" s="78">
        <v>0</v>
      </c>
      <c r="E535" s="78">
        <v>0</v>
      </c>
      <c r="F535" s="78">
        <v>9</v>
      </c>
      <c r="G535" s="78">
        <v>9</v>
      </c>
      <c r="H535" s="78">
        <v>1738</v>
      </c>
      <c r="I535" s="78">
        <v>199</v>
      </c>
      <c r="J535" s="78">
        <v>0</v>
      </c>
      <c r="K535" s="78">
        <v>1946</v>
      </c>
      <c r="L535" s="78">
        <v>0</v>
      </c>
      <c r="M535" s="78">
        <v>0</v>
      </c>
      <c r="N535" s="78">
        <v>9</v>
      </c>
      <c r="O535" s="78">
        <v>9</v>
      </c>
      <c r="P535" s="78">
        <v>1361</v>
      </c>
      <c r="Q535" s="78">
        <v>267</v>
      </c>
      <c r="R535" s="78">
        <v>0</v>
      </c>
      <c r="S535" s="78">
        <v>1637</v>
      </c>
      <c r="T535" s="78">
        <v>3583</v>
      </c>
      <c r="U535" s="112">
        <v>1</v>
      </c>
      <c r="V535" s="112">
        <v>1</v>
      </c>
      <c r="W535" s="78" t="s">
        <v>305</v>
      </c>
    </row>
    <row r="536" spans="1:23" s="115" customFormat="1" ht="14.45" customHeight="1" x14ac:dyDescent="0.2">
      <c r="A536" s="78" t="s">
        <v>306</v>
      </c>
      <c r="B536" s="78" t="s">
        <v>486</v>
      </c>
      <c r="C536" s="78">
        <v>7</v>
      </c>
      <c r="D536" s="78">
        <v>0</v>
      </c>
      <c r="E536" s="78">
        <v>0</v>
      </c>
      <c r="F536" s="78">
        <v>0</v>
      </c>
      <c r="G536" s="78">
        <v>0</v>
      </c>
      <c r="H536" s="78">
        <v>0</v>
      </c>
      <c r="I536" s="78">
        <v>0</v>
      </c>
      <c r="J536" s="78">
        <v>0</v>
      </c>
      <c r="K536" s="78">
        <v>0</v>
      </c>
      <c r="L536" s="78">
        <v>0</v>
      </c>
      <c r="M536" s="78">
        <v>0</v>
      </c>
      <c r="N536" s="78">
        <v>0</v>
      </c>
      <c r="O536" s="78">
        <v>0</v>
      </c>
      <c r="P536" s="78">
        <v>7</v>
      </c>
      <c r="Q536" s="78">
        <v>0</v>
      </c>
      <c r="R536" s="78">
        <v>0</v>
      </c>
      <c r="S536" s="78">
        <v>7</v>
      </c>
      <c r="T536" s="78">
        <v>7</v>
      </c>
      <c r="U536" s="112">
        <v>1</v>
      </c>
      <c r="V536" s="112">
        <v>1</v>
      </c>
      <c r="W536" s="78" t="s">
        <v>307</v>
      </c>
    </row>
    <row r="537" spans="1:23" s="115" customFormat="1" ht="14.45" customHeight="1" x14ac:dyDescent="0.2">
      <c r="A537" s="78" t="s">
        <v>303</v>
      </c>
      <c r="B537" s="78" t="s">
        <v>487</v>
      </c>
      <c r="C537" s="78">
        <v>0</v>
      </c>
      <c r="D537" s="78">
        <v>0</v>
      </c>
      <c r="E537" s="78">
        <v>0</v>
      </c>
      <c r="F537" s="78">
        <v>0</v>
      </c>
      <c r="G537" s="78">
        <v>0</v>
      </c>
      <c r="H537" s="78">
        <v>0</v>
      </c>
      <c r="I537" s="78">
        <v>0</v>
      </c>
      <c r="J537" s="78">
        <v>0</v>
      </c>
      <c r="K537" s="78">
        <v>0</v>
      </c>
      <c r="L537" s="78">
        <v>0</v>
      </c>
      <c r="M537" s="78">
        <v>0</v>
      </c>
      <c r="N537" s="78">
        <v>0</v>
      </c>
      <c r="O537" s="78">
        <v>0</v>
      </c>
      <c r="P537" s="78">
        <v>0</v>
      </c>
      <c r="Q537" s="78">
        <v>0</v>
      </c>
      <c r="R537" s="78">
        <v>0</v>
      </c>
      <c r="S537" s="78">
        <v>0</v>
      </c>
      <c r="T537" s="78">
        <v>222069</v>
      </c>
      <c r="U537" s="112">
        <v>0</v>
      </c>
      <c r="V537" s="112">
        <v>0</v>
      </c>
      <c r="W537" s="78" t="s">
        <v>304</v>
      </c>
    </row>
    <row r="538" spans="1:23" s="115" customFormat="1" ht="14.45" customHeight="1" x14ac:dyDescent="0.2">
      <c r="A538" s="78" t="s">
        <v>303</v>
      </c>
      <c r="B538" s="78" t="s">
        <v>486</v>
      </c>
      <c r="C538" s="78">
        <v>3214780</v>
      </c>
      <c r="D538" s="78">
        <v>242182</v>
      </c>
      <c r="E538" s="78">
        <v>314776</v>
      </c>
      <c r="F538" s="78">
        <v>187127</v>
      </c>
      <c r="G538" s="78">
        <v>744085</v>
      </c>
      <c r="H538" s="78">
        <v>733118</v>
      </c>
      <c r="I538" s="78">
        <v>58300</v>
      </c>
      <c r="J538" s="78">
        <v>0</v>
      </c>
      <c r="K538" s="78">
        <v>1535503</v>
      </c>
      <c r="L538" s="78">
        <v>258548</v>
      </c>
      <c r="M538" s="78">
        <v>333021</v>
      </c>
      <c r="N538" s="78">
        <v>201916</v>
      </c>
      <c r="O538" s="78">
        <v>793485</v>
      </c>
      <c r="P538" s="78">
        <v>833970</v>
      </c>
      <c r="Q538" s="78">
        <v>51822</v>
      </c>
      <c r="R538" s="78">
        <v>0</v>
      </c>
      <c r="S538" s="78">
        <v>1679277</v>
      </c>
      <c r="T538" s="78">
        <v>3251127</v>
      </c>
      <c r="U538" s="112">
        <v>0.98882018450832598</v>
      </c>
      <c r="V538" s="112">
        <v>0.98882018450832598</v>
      </c>
      <c r="W538" s="78" t="s">
        <v>304</v>
      </c>
    </row>
    <row r="539" spans="1:23" s="115" customFormat="1" ht="14.45" customHeight="1" x14ac:dyDescent="0.2">
      <c r="A539" s="78" t="s">
        <v>303</v>
      </c>
      <c r="B539" s="78" t="s">
        <v>490</v>
      </c>
      <c r="C539" s="78">
        <v>415</v>
      </c>
      <c r="D539" s="78">
        <v>0</v>
      </c>
      <c r="E539" s="78">
        <v>0</v>
      </c>
      <c r="F539" s="78">
        <v>0</v>
      </c>
      <c r="G539" s="78">
        <v>0</v>
      </c>
      <c r="H539" s="78">
        <v>0</v>
      </c>
      <c r="I539" s="78">
        <v>0</v>
      </c>
      <c r="J539" s="78">
        <v>161</v>
      </c>
      <c r="K539" s="78">
        <v>161</v>
      </c>
      <c r="L539" s="78">
        <v>0</v>
      </c>
      <c r="M539" s="78">
        <v>0</v>
      </c>
      <c r="N539" s="78">
        <v>0</v>
      </c>
      <c r="O539" s="78">
        <v>0</v>
      </c>
      <c r="P539" s="78">
        <v>0</v>
      </c>
      <c r="Q539" s="78">
        <v>0</v>
      </c>
      <c r="R539" s="78">
        <v>254</v>
      </c>
      <c r="S539" s="78">
        <v>254</v>
      </c>
      <c r="T539" s="78">
        <v>415</v>
      </c>
      <c r="U539" s="112">
        <v>0</v>
      </c>
      <c r="V539" s="112">
        <v>1</v>
      </c>
      <c r="W539" s="78" t="s">
        <v>304</v>
      </c>
    </row>
    <row r="540" spans="1:23" s="115" customFormat="1" ht="14.45" customHeight="1" x14ac:dyDescent="0.2">
      <c r="A540" s="78" t="s">
        <v>436</v>
      </c>
      <c r="B540" s="78" t="s">
        <v>487</v>
      </c>
      <c r="C540" s="78">
        <v>37657</v>
      </c>
      <c r="D540" s="78">
        <v>1411</v>
      </c>
      <c r="E540" s="78">
        <v>2001</v>
      </c>
      <c r="F540" s="78">
        <v>1428</v>
      </c>
      <c r="G540" s="78">
        <v>4840</v>
      </c>
      <c r="H540" s="78">
        <v>12487</v>
      </c>
      <c r="I540" s="78">
        <v>220</v>
      </c>
      <c r="J540" s="78">
        <v>0</v>
      </c>
      <c r="K540" s="78">
        <v>17547</v>
      </c>
      <c r="L540" s="78">
        <v>1363</v>
      </c>
      <c r="M540" s="78">
        <v>2078</v>
      </c>
      <c r="N540" s="78">
        <v>1683</v>
      </c>
      <c r="O540" s="78">
        <v>5124</v>
      </c>
      <c r="P540" s="78">
        <v>14794</v>
      </c>
      <c r="Q540" s="78">
        <v>192</v>
      </c>
      <c r="R540" s="78">
        <v>0</v>
      </c>
      <c r="S540" s="78">
        <v>20110</v>
      </c>
      <c r="T540" s="78">
        <v>37657</v>
      </c>
      <c r="U540" s="112">
        <v>1</v>
      </c>
      <c r="V540" s="112">
        <v>1</v>
      </c>
      <c r="W540" s="78" t="s">
        <v>308</v>
      </c>
    </row>
    <row r="541" spans="1:23" s="115" customFormat="1" ht="14.45" customHeight="1" x14ac:dyDescent="0.2">
      <c r="A541" s="78" t="s">
        <v>436</v>
      </c>
      <c r="B541" s="78" t="s">
        <v>486</v>
      </c>
      <c r="C541" s="78">
        <v>1577498</v>
      </c>
      <c r="D541" s="78">
        <v>126809</v>
      </c>
      <c r="E541" s="78">
        <v>183793</v>
      </c>
      <c r="F541" s="78">
        <v>135315</v>
      </c>
      <c r="G541" s="78">
        <v>445917</v>
      </c>
      <c r="H541" s="78">
        <v>341066</v>
      </c>
      <c r="I541" s="78">
        <v>26651</v>
      </c>
      <c r="J541" s="78">
        <v>0</v>
      </c>
      <c r="K541" s="78">
        <v>813634</v>
      </c>
      <c r="L541" s="78">
        <v>127267</v>
      </c>
      <c r="M541" s="78">
        <v>187909</v>
      </c>
      <c r="N541" s="78">
        <v>147918</v>
      </c>
      <c r="O541" s="78">
        <v>463094</v>
      </c>
      <c r="P541" s="78">
        <v>285761</v>
      </c>
      <c r="Q541" s="78">
        <v>15009</v>
      </c>
      <c r="R541" s="78">
        <v>0</v>
      </c>
      <c r="S541" s="78">
        <v>763864</v>
      </c>
      <c r="T541" s="78">
        <v>1577498</v>
      </c>
      <c r="U541" s="112">
        <v>1</v>
      </c>
      <c r="V541" s="112">
        <v>1</v>
      </c>
      <c r="W541" s="78" t="s">
        <v>308</v>
      </c>
    </row>
    <row r="542" spans="1:23" s="115" customFormat="1" ht="14.45" customHeight="1" x14ac:dyDescent="0.2">
      <c r="A542" s="78" t="s">
        <v>436</v>
      </c>
      <c r="B542" s="78" t="s">
        <v>490</v>
      </c>
      <c r="C542" s="78">
        <v>0</v>
      </c>
      <c r="D542" s="78">
        <v>0</v>
      </c>
      <c r="E542" s="78">
        <v>0</v>
      </c>
      <c r="F542" s="78">
        <v>0</v>
      </c>
      <c r="G542" s="78">
        <v>0</v>
      </c>
      <c r="H542" s="78">
        <v>0</v>
      </c>
      <c r="I542" s="78">
        <v>0</v>
      </c>
      <c r="J542" s="78">
        <v>0</v>
      </c>
      <c r="K542" s="78">
        <v>0</v>
      </c>
      <c r="L542" s="78">
        <v>0</v>
      </c>
      <c r="M542" s="78">
        <v>0</v>
      </c>
      <c r="N542" s="78">
        <v>0</v>
      </c>
      <c r="O542" s="78">
        <v>0</v>
      </c>
      <c r="P542" s="78">
        <v>0</v>
      </c>
      <c r="Q542" s="78">
        <v>0</v>
      </c>
      <c r="R542" s="78">
        <v>0</v>
      </c>
      <c r="S542" s="78">
        <v>0</v>
      </c>
      <c r="T542" s="78">
        <v>67000</v>
      </c>
      <c r="U542" s="112">
        <v>0</v>
      </c>
      <c r="V542" s="112">
        <v>0</v>
      </c>
      <c r="W542" s="78" t="s">
        <v>308</v>
      </c>
    </row>
    <row r="543" spans="1:23" s="115" customFormat="1" ht="14.45" customHeight="1" x14ac:dyDescent="0.2">
      <c r="A543" s="78" t="s">
        <v>461</v>
      </c>
      <c r="B543" s="78" t="s">
        <v>487</v>
      </c>
      <c r="C543" s="78">
        <v>354</v>
      </c>
      <c r="D543" s="78">
        <v>10</v>
      </c>
      <c r="E543" s="78">
        <v>15</v>
      </c>
      <c r="F543" s="78">
        <v>14</v>
      </c>
      <c r="G543" s="78">
        <v>39</v>
      </c>
      <c r="H543" s="78">
        <v>66</v>
      </c>
      <c r="I543" s="78">
        <v>0</v>
      </c>
      <c r="J543" s="78">
        <v>0</v>
      </c>
      <c r="K543" s="78">
        <v>105</v>
      </c>
      <c r="L543" s="78">
        <v>5</v>
      </c>
      <c r="M543" s="78">
        <v>15</v>
      </c>
      <c r="N543" s="78">
        <v>9</v>
      </c>
      <c r="O543" s="78">
        <v>29</v>
      </c>
      <c r="P543" s="78">
        <v>220</v>
      </c>
      <c r="Q543" s="78">
        <v>0</v>
      </c>
      <c r="R543" s="78">
        <v>0</v>
      </c>
      <c r="S543" s="78">
        <v>249</v>
      </c>
      <c r="T543" s="78">
        <v>498</v>
      </c>
      <c r="U543" s="112">
        <v>0.71084337349397597</v>
      </c>
      <c r="V543" s="112">
        <v>0.71084337349397597</v>
      </c>
      <c r="W543" s="78" t="s">
        <v>309</v>
      </c>
    </row>
    <row r="544" spans="1:23" s="115" customFormat="1" ht="14.45" customHeight="1" x14ac:dyDescent="0.2">
      <c r="A544" s="78" t="s">
        <v>461</v>
      </c>
      <c r="B544" s="78" t="s">
        <v>493</v>
      </c>
      <c r="C544" s="78">
        <v>0</v>
      </c>
      <c r="D544" s="78">
        <v>0</v>
      </c>
      <c r="E544" s="78">
        <v>0</v>
      </c>
      <c r="F544" s="78">
        <v>0</v>
      </c>
      <c r="G544" s="78">
        <v>0</v>
      </c>
      <c r="H544" s="78">
        <v>0</v>
      </c>
      <c r="I544" s="78">
        <v>0</v>
      </c>
      <c r="J544" s="78">
        <v>0</v>
      </c>
      <c r="K544" s="78">
        <v>0</v>
      </c>
      <c r="L544" s="78">
        <v>0</v>
      </c>
      <c r="M544" s="78">
        <v>0</v>
      </c>
      <c r="N544" s="78">
        <v>0</v>
      </c>
      <c r="O544" s="78">
        <v>0</v>
      </c>
      <c r="P544" s="78">
        <v>0</v>
      </c>
      <c r="Q544" s="78">
        <v>0</v>
      </c>
      <c r="R544" s="78">
        <v>0</v>
      </c>
      <c r="S544" s="78">
        <v>0</v>
      </c>
      <c r="T544" s="78">
        <v>1318680</v>
      </c>
      <c r="U544" s="112">
        <v>0</v>
      </c>
      <c r="V544" s="112">
        <v>0</v>
      </c>
      <c r="W544" s="78" t="s">
        <v>309</v>
      </c>
    </row>
    <row r="545" spans="1:23" s="115" customFormat="1" ht="14.45" customHeight="1" x14ac:dyDescent="0.2">
      <c r="A545" s="78" t="s">
        <v>461</v>
      </c>
      <c r="B545" s="78" t="s">
        <v>489</v>
      </c>
      <c r="C545" s="78">
        <v>3689000</v>
      </c>
      <c r="D545" s="78">
        <v>101711</v>
      </c>
      <c r="E545" s="78">
        <v>135613</v>
      </c>
      <c r="F545" s="78">
        <v>190382</v>
      </c>
      <c r="G545" s="78">
        <v>427706</v>
      </c>
      <c r="H545" s="78">
        <v>1200976</v>
      </c>
      <c r="I545" s="78">
        <v>498138</v>
      </c>
      <c r="J545" s="78">
        <v>0</v>
      </c>
      <c r="K545" s="78">
        <v>2126820</v>
      </c>
      <c r="L545" s="78">
        <v>75634</v>
      </c>
      <c r="M545" s="78">
        <v>155174</v>
      </c>
      <c r="N545" s="78">
        <v>221679</v>
      </c>
      <c r="O545" s="78">
        <v>452487</v>
      </c>
      <c r="P545" s="78">
        <v>830640</v>
      </c>
      <c r="Q545" s="78">
        <v>279053</v>
      </c>
      <c r="R545" s="78">
        <v>0</v>
      </c>
      <c r="S545" s="78">
        <v>1562180</v>
      </c>
      <c r="T545" s="78">
        <v>3689000</v>
      </c>
      <c r="U545" s="112">
        <v>1</v>
      </c>
      <c r="V545" s="112">
        <v>1</v>
      </c>
      <c r="W545" s="78" t="s">
        <v>309</v>
      </c>
    </row>
    <row r="546" spans="1:23" s="115" customFormat="1" ht="14.45" customHeight="1" x14ac:dyDescent="0.2">
      <c r="A546" s="78" t="s">
        <v>461</v>
      </c>
      <c r="B546" s="78" t="s">
        <v>491</v>
      </c>
      <c r="C546" s="78">
        <v>0</v>
      </c>
      <c r="D546" s="78">
        <v>0</v>
      </c>
      <c r="E546" s="78">
        <v>0</v>
      </c>
      <c r="F546" s="78">
        <v>0</v>
      </c>
      <c r="G546" s="78">
        <v>0</v>
      </c>
      <c r="H546" s="78">
        <v>0</v>
      </c>
      <c r="I546" s="78">
        <v>0</v>
      </c>
      <c r="J546" s="78">
        <v>0</v>
      </c>
      <c r="K546" s="78">
        <v>0</v>
      </c>
      <c r="L546" s="78">
        <v>0</v>
      </c>
      <c r="M546" s="78">
        <v>0</v>
      </c>
      <c r="N546" s="78">
        <v>0</v>
      </c>
      <c r="O546" s="78">
        <v>0</v>
      </c>
      <c r="P546" s="78">
        <v>0</v>
      </c>
      <c r="Q546" s="78">
        <v>0</v>
      </c>
      <c r="R546" s="78">
        <v>0</v>
      </c>
      <c r="S546" s="78">
        <v>0</v>
      </c>
      <c r="T546" s="78">
        <v>958361</v>
      </c>
      <c r="U546" s="112">
        <v>0</v>
      </c>
      <c r="V546" s="112">
        <v>0</v>
      </c>
      <c r="W546" s="78" t="s">
        <v>309</v>
      </c>
    </row>
    <row r="547" spans="1:23" s="115" customFormat="1" ht="14.45" customHeight="1" x14ac:dyDescent="0.2">
      <c r="A547" s="78" t="s">
        <v>461</v>
      </c>
      <c r="B547" s="78" t="s">
        <v>492</v>
      </c>
      <c r="C547" s="78">
        <v>0</v>
      </c>
      <c r="D547" s="78">
        <v>0</v>
      </c>
      <c r="E547" s="78">
        <v>0</v>
      </c>
      <c r="F547" s="78">
        <v>0</v>
      </c>
      <c r="G547" s="78">
        <v>0</v>
      </c>
      <c r="H547" s="78">
        <v>0</v>
      </c>
      <c r="I547" s="78">
        <v>0</v>
      </c>
      <c r="J547" s="78">
        <v>0</v>
      </c>
      <c r="K547" s="78">
        <v>0</v>
      </c>
      <c r="L547" s="78">
        <v>0</v>
      </c>
      <c r="M547" s="78">
        <v>0</v>
      </c>
      <c r="N547" s="78">
        <v>0</v>
      </c>
      <c r="O547" s="78">
        <v>0</v>
      </c>
      <c r="P547" s="78">
        <v>0</v>
      </c>
      <c r="Q547" s="78">
        <v>0</v>
      </c>
      <c r="R547" s="78">
        <v>0</v>
      </c>
      <c r="S547" s="78">
        <v>0</v>
      </c>
      <c r="T547" s="78">
        <v>324573</v>
      </c>
      <c r="U547" s="112">
        <v>0</v>
      </c>
      <c r="V547" s="112">
        <v>0</v>
      </c>
      <c r="W547" s="78" t="s">
        <v>309</v>
      </c>
    </row>
    <row r="548" spans="1:23" s="115" customFormat="1" ht="14.45" customHeight="1" x14ac:dyDescent="0.2">
      <c r="A548" s="78" t="s">
        <v>461</v>
      </c>
      <c r="B548" s="78" t="s">
        <v>486</v>
      </c>
      <c r="C548" s="78">
        <v>2512</v>
      </c>
      <c r="D548" s="78">
        <v>0</v>
      </c>
      <c r="E548" s="78">
        <v>0</v>
      </c>
      <c r="F548" s="78">
        <v>96</v>
      </c>
      <c r="G548" s="78">
        <v>96</v>
      </c>
      <c r="H548" s="78">
        <v>575</v>
      </c>
      <c r="I548" s="78">
        <v>5</v>
      </c>
      <c r="J548" s="78">
        <v>13</v>
      </c>
      <c r="K548" s="78">
        <v>689</v>
      </c>
      <c r="L548" s="78">
        <v>0</v>
      </c>
      <c r="M548" s="78">
        <v>0</v>
      </c>
      <c r="N548" s="78">
        <v>77</v>
      </c>
      <c r="O548" s="78">
        <v>77</v>
      </c>
      <c r="P548" s="78">
        <v>1669</v>
      </c>
      <c r="Q548" s="78">
        <v>45</v>
      </c>
      <c r="R548" s="78">
        <v>32</v>
      </c>
      <c r="S548" s="78">
        <v>1823</v>
      </c>
      <c r="T548" s="78">
        <v>2512</v>
      </c>
      <c r="U548" s="112">
        <v>0.98208598726114604</v>
      </c>
      <c r="V548" s="112">
        <v>1</v>
      </c>
      <c r="W548" s="78" t="s">
        <v>309</v>
      </c>
    </row>
    <row r="549" spans="1:23" s="115" customFormat="1" ht="14.45" customHeight="1" x14ac:dyDescent="0.2">
      <c r="A549" s="78" t="s">
        <v>461</v>
      </c>
      <c r="B549" s="78" t="s">
        <v>490</v>
      </c>
      <c r="C549" s="78">
        <v>0</v>
      </c>
      <c r="D549" s="78">
        <v>0</v>
      </c>
      <c r="E549" s="78">
        <v>0</v>
      </c>
      <c r="F549" s="78">
        <v>0</v>
      </c>
      <c r="G549" s="78">
        <v>0</v>
      </c>
      <c r="H549" s="78">
        <v>0</v>
      </c>
      <c r="I549" s="78">
        <v>0</v>
      </c>
      <c r="J549" s="78">
        <v>0</v>
      </c>
      <c r="K549" s="78">
        <v>0</v>
      </c>
      <c r="L549" s="78">
        <v>0</v>
      </c>
      <c r="M549" s="78">
        <v>0</v>
      </c>
      <c r="N549" s="78">
        <v>0</v>
      </c>
      <c r="O549" s="78">
        <v>0</v>
      </c>
      <c r="P549" s="78">
        <v>0</v>
      </c>
      <c r="Q549" s="78">
        <v>0</v>
      </c>
      <c r="R549" s="78">
        <v>0</v>
      </c>
      <c r="S549" s="78">
        <v>0</v>
      </c>
      <c r="T549" s="78">
        <v>35692</v>
      </c>
      <c r="U549" s="112">
        <v>0</v>
      </c>
      <c r="V549" s="112">
        <v>0</v>
      </c>
      <c r="W549" s="78" t="s">
        <v>309</v>
      </c>
    </row>
    <row r="550" spans="1:23" s="115" customFormat="1" ht="14.45" customHeight="1" x14ac:dyDescent="0.2">
      <c r="A550" s="78" t="s">
        <v>310</v>
      </c>
      <c r="B550" s="78" t="s">
        <v>487</v>
      </c>
      <c r="C550" s="78">
        <v>7044</v>
      </c>
      <c r="D550" s="78">
        <v>5</v>
      </c>
      <c r="E550" s="78">
        <v>638</v>
      </c>
      <c r="F550" s="78">
        <v>634</v>
      </c>
      <c r="G550" s="78">
        <v>1277</v>
      </c>
      <c r="H550" s="78">
        <v>1971</v>
      </c>
      <c r="I550" s="78">
        <v>169</v>
      </c>
      <c r="J550" s="78">
        <v>0</v>
      </c>
      <c r="K550" s="78">
        <v>3417</v>
      </c>
      <c r="L550" s="78">
        <v>10</v>
      </c>
      <c r="M550" s="78">
        <v>666</v>
      </c>
      <c r="N550" s="78">
        <v>704</v>
      </c>
      <c r="O550" s="78">
        <v>1380</v>
      </c>
      <c r="P550" s="78">
        <v>2013</v>
      </c>
      <c r="Q550" s="78">
        <v>234</v>
      </c>
      <c r="R550" s="78">
        <v>0</v>
      </c>
      <c r="S550" s="78">
        <v>3627</v>
      </c>
      <c r="T550" s="78">
        <v>7044</v>
      </c>
      <c r="U550" s="112">
        <v>1</v>
      </c>
      <c r="V550" s="112">
        <v>1</v>
      </c>
      <c r="W550" s="78" t="s">
        <v>311</v>
      </c>
    </row>
    <row r="551" spans="1:23" s="115" customFormat="1" ht="14.45" customHeight="1" x14ac:dyDescent="0.2">
      <c r="A551" s="78" t="s">
        <v>310</v>
      </c>
      <c r="B551" s="78" t="s">
        <v>491</v>
      </c>
      <c r="C551" s="78">
        <v>113</v>
      </c>
      <c r="D551" s="78">
        <v>0</v>
      </c>
      <c r="E551" s="78">
        <v>12</v>
      </c>
      <c r="F551" s="78">
        <v>6</v>
      </c>
      <c r="G551" s="78">
        <v>18</v>
      </c>
      <c r="H551" s="78">
        <v>61</v>
      </c>
      <c r="I551" s="78">
        <v>0</v>
      </c>
      <c r="J551" s="78">
        <v>0</v>
      </c>
      <c r="K551" s="78">
        <v>79</v>
      </c>
      <c r="L551" s="78">
        <v>0</v>
      </c>
      <c r="M551" s="78">
        <v>12</v>
      </c>
      <c r="N551" s="78">
        <v>15</v>
      </c>
      <c r="O551" s="78">
        <v>27</v>
      </c>
      <c r="P551" s="78">
        <v>7</v>
      </c>
      <c r="Q551" s="78">
        <v>0</v>
      </c>
      <c r="R551" s="78">
        <v>0</v>
      </c>
      <c r="S551" s="78">
        <v>34</v>
      </c>
      <c r="T551" s="78">
        <v>113</v>
      </c>
      <c r="U551" s="112">
        <v>1</v>
      </c>
      <c r="V551" s="112">
        <v>1</v>
      </c>
      <c r="W551" s="78" t="s">
        <v>311</v>
      </c>
    </row>
    <row r="552" spans="1:23" s="115" customFormat="1" ht="14.45" customHeight="1" x14ac:dyDescent="0.2">
      <c r="A552" s="78" t="s">
        <v>310</v>
      </c>
      <c r="B552" s="78" t="s">
        <v>486</v>
      </c>
      <c r="C552" s="78">
        <v>1416</v>
      </c>
      <c r="D552" s="78">
        <v>21</v>
      </c>
      <c r="E552" s="78">
        <v>80</v>
      </c>
      <c r="F552" s="78">
        <v>110</v>
      </c>
      <c r="G552" s="78">
        <v>211</v>
      </c>
      <c r="H552" s="78">
        <v>429</v>
      </c>
      <c r="I552" s="78">
        <v>74</v>
      </c>
      <c r="J552" s="78">
        <v>0</v>
      </c>
      <c r="K552" s="78">
        <v>714</v>
      </c>
      <c r="L552" s="78">
        <v>21</v>
      </c>
      <c r="M552" s="78">
        <v>94</v>
      </c>
      <c r="N552" s="78">
        <v>99</v>
      </c>
      <c r="O552" s="78">
        <v>214</v>
      </c>
      <c r="P552" s="78">
        <v>416</v>
      </c>
      <c r="Q552" s="78">
        <v>72</v>
      </c>
      <c r="R552" s="78">
        <v>0</v>
      </c>
      <c r="S552" s="78">
        <v>702</v>
      </c>
      <c r="T552" s="78">
        <v>1416</v>
      </c>
      <c r="U552" s="112">
        <v>1</v>
      </c>
      <c r="V552" s="112">
        <v>1</v>
      </c>
      <c r="W552" s="78" t="s">
        <v>311</v>
      </c>
    </row>
    <row r="553" spans="1:23" s="115" customFormat="1" ht="14.45" customHeight="1" x14ac:dyDescent="0.2">
      <c r="A553" s="78" t="s">
        <v>437</v>
      </c>
      <c r="B553" s="78" t="s">
        <v>487</v>
      </c>
      <c r="C553" s="78">
        <v>0</v>
      </c>
      <c r="D553" s="78">
        <v>0</v>
      </c>
      <c r="E553" s="78">
        <v>0</v>
      </c>
      <c r="F553" s="78">
        <v>0</v>
      </c>
      <c r="G553" s="78">
        <v>0</v>
      </c>
      <c r="H553" s="78">
        <v>0</v>
      </c>
      <c r="I553" s="78">
        <v>0</v>
      </c>
      <c r="J553" s="78">
        <v>0</v>
      </c>
      <c r="K553" s="78">
        <v>0</v>
      </c>
      <c r="L553" s="78">
        <v>0</v>
      </c>
      <c r="M553" s="78">
        <v>0</v>
      </c>
      <c r="N553" s="78">
        <v>0</v>
      </c>
      <c r="O553" s="78">
        <v>0</v>
      </c>
      <c r="P553" s="78">
        <v>0</v>
      </c>
      <c r="Q553" s="78">
        <v>0</v>
      </c>
      <c r="R553" s="78">
        <v>0</v>
      </c>
      <c r="S553" s="78">
        <v>0</v>
      </c>
      <c r="T553" s="78">
        <v>138156</v>
      </c>
      <c r="U553" s="112">
        <v>0</v>
      </c>
      <c r="V553" s="112">
        <v>0</v>
      </c>
      <c r="W553" s="78" t="s">
        <v>312</v>
      </c>
    </row>
    <row r="554" spans="1:23" s="115" customFormat="1" ht="14.45" customHeight="1" x14ac:dyDescent="0.2">
      <c r="A554" s="78" t="s">
        <v>437</v>
      </c>
      <c r="B554" s="78" t="s">
        <v>491</v>
      </c>
      <c r="C554" s="78">
        <v>0</v>
      </c>
      <c r="D554" s="78">
        <v>0</v>
      </c>
      <c r="E554" s="78">
        <v>0</v>
      </c>
      <c r="F554" s="78">
        <v>0</v>
      </c>
      <c r="G554" s="78">
        <v>0</v>
      </c>
      <c r="H554" s="78">
        <v>0</v>
      </c>
      <c r="I554" s="78">
        <v>0</v>
      </c>
      <c r="J554" s="78">
        <v>0</v>
      </c>
      <c r="K554" s="78">
        <v>0</v>
      </c>
      <c r="L554" s="78">
        <v>0</v>
      </c>
      <c r="M554" s="78">
        <v>0</v>
      </c>
      <c r="N554" s="78">
        <v>0</v>
      </c>
      <c r="O554" s="78">
        <v>0</v>
      </c>
      <c r="P554" s="78">
        <v>0</v>
      </c>
      <c r="Q554" s="78">
        <v>0</v>
      </c>
      <c r="R554" s="78">
        <v>0</v>
      </c>
      <c r="S554" s="78">
        <v>0</v>
      </c>
      <c r="T554" s="78">
        <v>362</v>
      </c>
      <c r="U554" s="112">
        <v>0</v>
      </c>
      <c r="V554" s="112">
        <v>0</v>
      </c>
      <c r="W554" s="78" t="s">
        <v>312</v>
      </c>
    </row>
    <row r="555" spans="1:23" s="115" customFormat="1" ht="14.45" customHeight="1" x14ac:dyDescent="0.2">
      <c r="A555" s="78" t="s">
        <v>437</v>
      </c>
      <c r="B555" s="78" t="s">
        <v>486</v>
      </c>
      <c r="C555" s="78">
        <v>448620</v>
      </c>
      <c r="D555" s="78">
        <v>2993</v>
      </c>
      <c r="E555" s="78">
        <v>20080</v>
      </c>
      <c r="F555" s="78">
        <v>39307</v>
      </c>
      <c r="G555" s="78">
        <v>62380</v>
      </c>
      <c r="H555" s="78">
        <v>101954</v>
      </c>
      <c r="I555" s="78">
        <v>32449</v>
      </c>
      <c r="J555" s="78">
        <v>0</v>
      </c>
      <c r="K555" s="78">
        <v>196783</v>
      </c>
      <c r="L555" s="78">
        <v>1315</v>
      </c>
      <c r="M555" s="78">
        <v>14236</v>
      </c>
      <c r="N555" s="78">
        <v>49500</v>
      </c>
      <c r="O555" s="78">
        <v>65051</v>
      </c>
      <c r="P555" s="78">
        <v>154311</v>
      </c>
      <c r="Q555" s="78">
        <v>32475</v>
      </c>
      <c r="R555" s="78">
        <v>0</v>
      </c>
      <c r="S555" s="78">
        <v>251837</v>
      </c>
      <c r="T555" s="78">
        <v>448620</v>
      </c>
      <c r="U555" s="112">
        <v>1</v>
      </c>
      <c r="V555" s="112">
        <v>1</v>
      </c>
      <c r="W555" s="78" t="s">
        <v>312</v>
      </c>
    </row>
    <row r="556" spans="1:23" s="115" customFormat="1" ht="14.45" customHeight="1" x14ac:dyDescent="0.2">
      <c r="A556" s="78" t="s">
        <v>313</v>
      </c>
      <c r="B556" s="78" t="s">
        <v>487</v>
      </c>
      <c r="C556" s="78">
        <v>40143</v>
      </c>
      <c r="D556" s="78">
        <v>4263</v>
      </c>
      <c r="E556" s="78">
        <v>4558</v>
      </c>
      <c r="F556" s="78">
        <v>3086</v>
      </c>
      <c r="G556" s="78">
        <v>11907</v>
      </c>
      <c r="H556" s="78">
        <v>7899</v>
      </c>
      <c r="I556" s="78">
        <v>644</v>
      </c>
      <c r="J556" s="78">
        <v>0</v>
      </c>
      <c r="K556" s="78">
        <v>20450</v>
      </c>
      <c r="L556" s="78">
        <v>4140</v>
      </c>
      <c r="M556" s="78">
        <v>4359</v>
      </c>
      <c r="N556" s="78">
        <v>3282</v>
      </c>
      <c r="O556" s="78">
        <v>11781</v>
      </c>
      <c r="P556" s="78">
        <v>7546</v>
      </c>
      <c r="Q556" s="78">
        <v>366</v>
      </c>
      <c r="R556" s="78">
        <v>0</v>
      </c>
      <c r="S556" s="78">
        <v>19693</v>
      </c>
      <c r="T556" s="78">
        <v>40143</v>
      </c>
      <c r="U556" s="112">
        <v>1</v>
      </c>
      <c r="V556" s="112">
        <v>1</v>
      </c>
      <c r="W556" s="78" t="s">
        <v>314</v>
      </c>
    </row>
    <row r="557" spans="1:23" s="115" customFormat="1" ht="14.45" customHeight="1" x14ac:dyDescent="0.2">
      <c r="A557" s="78" t="s">
        <v>313</v>
      </c>
      <c r="B557" s="78" t="s">
        <v>491</v>
      </c>
      <c r="C557" s="78">
        <v>12290</v>
      </c>
      <c r="D557" s="78">
        <v>1240</v>
      </c>
      <c r="E557" s="78">
        <v>1170</v>
      </c>
      <c r="F557" s="78">
        <v>880</v>
      </c>
      <c r="G557" s="78">
        <v>3290</v>
      </c>
      <c r="H557" s="78">
        <v>2656</v>
      </c>
      <c r="I557" s="78">
        <v>225</v>
      </c>
      <c r="J557" s="78">
        <v>0</v>
      </c>
      <c r="K557" s="78">
        <v>6171</v>
      </c>
      <c r="L557" s="78">
        <v>1322</v>
      </c>
      <c r="M557" s="78">
        <v>1077</v>
      </c>
      <c r="N557" s="78">
        <v>836</v>
      </c>
      <c r="O557" s="78">
        <v>3235</v>
      </c>
      <c r="P557" s="78">
        <v>2730</v>
      </c>
      <c r="Q557" s="78">
        <v>154</v>
      </c>
      <c r="R557" s="78">
        <v>0</v>
      </c>
      <c r="S557" s="78">
        <v>6119</v>
      </c>
      <c r="T557" s="78">
        <v>12290</v>
      </c>
      <c r="U557" s="112">
        <v>1</v>
      </c>
      <c r="V557" s="112">
        <v>1</v>
      </c>
      <c r="W557" s="78" t="s">
        <v>314</v>
      </c>
    </row>
    <row r="558" spans="1:23" s="115" customFormat="1" ht="14.45" customHeight="1" x14ac:dyDescent="0.2">
      <c r="A558" s="78" t="s">
        <v>313</v>
      </c>
      <c r="B558" s="78" t="s">
        <v>486</v>
      </c>
      <c r="C558" s="78">
        <v>188953</v>
      </c>
      <c r="D558" s="78">
        <v>18009</v>
      </c>
      <c r="E558" s="78">
        <v>18705</v>
      </c>
      <c r="F558" s="78">
        <v>13238</v>
      </c>
      <c r="G558" s="78">
        <v>49952</v>
      </c>
      <c r="H558" s="78">
        <v>41197</v>
      </c>
      <c r="I558" s="78">
        <v>3293</v>
      </c>
      <c r="J558" s="78">
        <v>0</v>
      </c>
      <c r="K558" s="78">
        <v>94442</v>
      </c>
      <c r="L558" s="78">
        <v>18453</v>
      </c>
      <c r="M558" s="78">
        <v>18885</v>
      </c>
      <c r="N558" s="78">
        <v>13547</v>
      </c>
      <c r="O558" s="78">
        <v>50885</v>
      </c>
      <c r="P558" s="78">
        <v>40377</v>
      </c>
      <c r="Q558" s="78">
        <v>3249</v>
      </c>
      <c r="R558" s="78">
        <v>0</v>
      </c>
      <c r="S558" s="78">
        <v>94511</v>
      </c>
      <c r="T558" s="78">
        <v>188953</v>
      </c>
      <c r="U558" s="112">
        <v>1</v>
      </c>
      <c r="V558" s="112">
        <v>1</v>
      </c>
      <c r="W558" s="78" t="s">
        <v>314</v>
      </c>
    </row>
    <row r="559" spans="1:23" s="115" customFormat="1" ht="14.45" customHeight="1" x14ac:dyDescent="0.2">
      <c r="A559" s="78" t="s">
        <v>462</v>
      </c>
      <c r="B559" s="78" t="s">
        <v>487</v>
      </c>
      <c r="C559" s="78">
        <v>0</v>
      </c>
      <c r="D559" s="78">
        <v>0</v>
      </c>
      <c r="E559" s="78">
        <v>0</v>
      </c>
      <c r="F559" s="78">
        <v>0</v>
      </c>
      <c r="G559" s="78">
        <v>0</v>
      </c>
      <c r="H559" s="78">
        <v>0</v>
      </c>
      <c r="I559" s="78">
        <v>0</v>
      </c>
      <c r="J559" s="78">
        <v>0</v>
      </c>
      <c r="K559" s="78">
        <v>0</v>
      </c>
      <c r="L559" s="78">
        <v>0</v>
      </c>
      <c r="M559" s="78">
        <v>0</v>
      </c>
      <c r="N559" s="78">
        <v>0</v>
      </c>
      <c r="O559" s="78">
        <v>0</v>
      </c>
      <c r="P559" s="78">
        <v>0</v>
      </c>
      <c r="Q559" s="78">
        <v>0</v>
      </c>
      <c r="R559" s="78">
        <v>0</v>
      </c>
      <c r="S559" s="78">
        <v>0</v>
      </c>
      <c r="T559" s="78">
        <v>2601467</v>
      </c>
      <c r="U559" s="112">
        <v>0</v>
      </c>
      <c r="V559" s="112">
        <v>0</v>
      </c>
      <c r="W559" s="78" t="s">
        <v>315</v>
      </c>
    </row>
    <row r="560" spans="1:23" s="115" customFormat="1" ht="14.45" customHeight="1" x14ac:dyDescent="0.2">
      <c r="A560" s="78" t="s">
        <v>462</v>
      </c>
      <c r="B560" s="78" t="s">
        <v>486</v>
      </c>
      <c r="C560" s="78">
        <v>0</v>
      </c>
      <c r="D560" s="78">
        <v>0</v>
      </c>
      <c r="E560" s="78">
        <v>0</v>
      </c>
      <c r="F560" s="78">
        <v>0</v>
      </c>
      <c r="G560" s="78">
        <v>0</v>
      </c>
      <c r="H560" s="78">
        <v>0</v>
      </c>
      <c r="I560" s="78">
        <v>0</v>
      </c>
      <c r="J560" s="78">
        <v>0</v>
      </c>
      <c r="K560" s="78">
        <v>0</v>
      </c>
      <c r="L560" s="78">
        <v>0</v>
      </c>
      <c r="M560" s="78">
        <v>0</v>
      </c>
      <c r="N560" s="78">
        <v>0</v>
      </c>
      <c r="O560" s="78">
        <v>0</v>
      </c>
      <c r="P560" s="78">
        <v>0</v>
      </c>
      <c r="Q560" s="78">
        <v>0</v>
      </c>
      <c r="R560" s="78">
        <v>0</v>
      </c>
      <c r="S560" s="78">
        <v>0</v>
      </c>
      <c r="T560" s="78">
        <v>409202</v>
      </c>
      <c r="U560" s="112">
        <v>0</v>
      </c>
      <c r="V560" s="112">
        <v>0</v>
      </c>
      <c r="W560" s="78" t="s">
        <v>315</v>
      </c>
    </row>
    <row r="561" spans="1:23" s="115" customFormat="1" ht="14.45" customHeight="1" x14ac:dyDescent="0.2">
      <c r="A561" s="78" t="s">
        <v>316</v>
      </c>
      <c r="B561" s="78" t="s">
        <v>487</v>
      </c>
      <c r="C561" s="78">
        <v>24173</v>
      </c>
      <c r="D561" s="78">
        <v>285</v>
      </c>
      <c r="E561" s="78">
        <v>750</v>
      </c>
      <c r="F561" s="78">
        <v>483</v>
      </c>
      <c r="G561" s="78">
        <v>1518</v>
      </c>
      <c r="H561" s="78">
        <v>8211</v>
      </c>
      <c r="I561" s="78">
        <v>309</v>
      </c>
      <c r="J561" s="78">
        <v>0</v>
      </c>
      <c r="K561" s="78">
        <v>10038</v>
      </c>
      <c r="L561" s="78">
        <v>293</v>
      </c>
      <c r="M561" s="78">
        <v>741</v>
      </c>
      <c r="N561" s="78">
        <v>504</v>
      </c>
      <c r="O561" s="78">
        <v>1538</v>
      </c>
      <c r="P561" s="78">
        <v>12331</v>
      </c>
      <c r="Q561" s="78">
        <v>266</v>
      </c>
      <c r="R561" s="78">
        <v>0</v>
      </c>
      <c r="S561" s="78">
        <v>14135</v>
      </c>
      <c r="T561" s="78">
        <v>24173</v>
      </c>
      <c r="U561" s="112">
        <v>1</v>
      </c>
      <c r="V561" s="112">
        <v>1</v>
      </c>
      <c r="W561" s="78" t="s">
        <v>317</v>
      </c>
    </row>
    <row r="562" spans="1:23" s="115" customFormat="1" ht="14.45" customHeight="1" x14ac:dyDescent="0.2">
      <c r="A562" s="78" t="s">
        <v>316</v>
      </c>
      <c r="B562" s="78" t="s">
        <v>488</v>
      </c>
      <c r="C562" s="78">
        <v>28628</v>
      </c>
      <c r="D562" s="78">
        <v>0</v>
      </c>
      <c r="E562" s="78">
        <v>0</v>
      </c>
      <c r="F562" s="78">
        <v>0</v>
      </c>
      <c r="G562" s="78">
        <v>0</v>
      </c>
      <c r="H562" s="78">
        <v>0</v>
      </c>
      <c r="I562" s="78">
        <v>0</v>
      </c>
      <c r="J562" s="78">
        <v>14622</v>
      </c>
      <c r="K562" s="78">
        <v>14622</v>
      </c>
      <c r="L562" s="78">
        <v>0</v>
      </c>
      <c r="M562" s="78">
        <v>0</v>
      </c>
      <c r="N562" s="78">
        <v>0</v>
      </c>
      <c r="O562" s="78">
        <v>0</v>
      </c>
      <c r="P562" s="78">
        <v>0</v>
      </c>
      <c r="Q562" s="78">
        <v>0</v>
      </c>
      <c r="R562" s="78">
        <v>14006</v>
      </c>
      <c r="S562" s="78">
        <v>14006</v>
      </c>
      <c r="T562" s="78">
        <v>28628</v>
      </c>
      <c r="U562" s="112">
        <v>0</v>
      </c>
      <c r="V562" s="112">
        <v>1</v>
      </c>
      <c r="W562" s="78" t="s">
        <v>317</v>
      </c>
    </row>
    <row r="563" spans="1:23" s="115" customFormat="1" ht="14.45" customHeight="1" x14ac:dyDescent="0.2">
      <c r="A563" s="78" t="s">
        <v>316</v>
      </c>
      <c r="B563" s="78" t="s">
        <v>486</v>
      </c>
      <c r="C563" s="78">
        <v>1285</v>
      </c>
      <c r="D563" s="78">
        <v>7</v>
      </c>
      <c r="E563" s="78">
        <v>76</v>
      </c>
      <c r="F563" s="78">
        <v>66</v>
      </c>
      <c r="G563" s="78">
        <v>149</v>
      </c>
      <c r="H563" s="78">
        <v>412</v>
      </c>
      <c r="I563" s="78">
        <v>46</v>
      </c>
      <c r="J563" s="78">
        <v>0</v>
      </c>
      <c r="K563" s="78">
        <v>607</v>
      </c>
      <c r="L563" s="78">
        <v>12</v>
      </c>
      <c r="M563" s="78">
        <v>94</v>
      </c>
      <c r="N563" s="78">
        <v>77</v>
      </c>
      <c r="O563" s="78">
        <v>183</v>
      </c>
      <c r="P563" s="78">
        <v>451</v>
      </c>
      <c r="Q563" s="78">
        <v>44</v>
      </c>
      <c r="R563" s="78">
        <v>0</v>
      </c>
      <c r="S563" s="78">
        <v>678</v>
      </c>
      <c r="T563" s="78">
        <v>1285</v>
      </c>
      <c r="U563" s="112">
        <v>1</v>
      </c>
      <c r="V563" s="112">
        <v>1</v>
      </c>
      <c r="W563" s="78" t="s">
        <v>317</v>
      </c>
    </row>
    <row r="564" spans="1:23" s="115" customFormat="1" ht="14.45" customHeight="1" x14ac:dyDescent="0.2">
      <c r="A564" s="78" t="s">
        <v>438</v>
      </c>
      <c r="B564" s="78" t="s">
        <v>486</v>
      </c>
      <c r="C564" s="78">
        <v>5</v>
      </c>
      <c r="D564" s="78">
        <v>0</v>
      </c>
      <c r="E564" s="78">
        <v>0</v>
      </c>
      <c r="F564" s="78">
        <v>0</v>
      </c>
      <c r="G564" s="78">
        <v>0</v>
      </c>
      <c r="H564" s="78">
        <v>5</v>
      </c>
      <c r="I564" s="78">
        <v>0</v>
      </c>
      <c r="J564" s="78">
        <v>0</v>
      </c>
      <c r="K564" s="78">
        <v>5</v>
      </c>
      <c r="L564" s="78">
        <v>0</v>
      </c>
      <c r="M564" s="78">
        <v>0</v>
      </c>
      <c r="N564" s="78">
        <v>0</v>
      </c>
      <c r="O564" s="78">
        <v>0</v>
      </c>
      <c r="P564" s="78">
        <v>0</v>
      </c>
      <c r="Q564" s="78">
        <v>0</v>
      </c>
      <c r="R564" s="78">
        <v>0</v>
      </c>
      <c r="S564" s="78">
        <v>0</v>
      </c>
      <c r="T564" s="78">
        <v>9405</v>
      </c>
      <c r="U564" s="112">
        <v>5.3163211057947904E-4</v>
      </c>
      <c r="V564" s="112">
        <v>5.3163211057947904E-4</v>
      </c>
      <c r="W564" s="78" t="s">
        <v>318</v>
      </c>
    </row>
    <row r="565" spans="1:23" s="115" customFormat="1" ht="14.45" customHeight="1" x14ac:dyDescent="0.2">
      <c r="A565" s="78" t="s">
        <v>438</v>
      </c>
      <c r="B565" s="78" t="s">
        <v>490</v>
      </c>
      <c r="C565" s="78">
        <v>0</v>
      </c>
      <c r="D565" s="78">
        <v>0</v>
      </c>
      <c r="E565" s="78">
        <v>0</v>
      </c>
      <c r="F565" s="78">
        <v>0</v>
      </c>
      <c r="G565" s="78">
        <v>0</v>
      </c>
      <c r="H565" s="78">
        <v>0</v>
      </c>
      <c r="I565" s="78">
        <v>0</v>
      </c>
      <c r="J565" s="78">
        <v>0</v>
      </c>
      <c r="K565" s="78">
        <v>0</v>
      </c>
      <c r="L565" s="78">
        <v>0</v>
      </c>
      <c r="M565" s="78">
        <v>0</v>
      </c>
      <c r="N565" s="78">
        <v>0</v>
      </c>
      <c r="O565" s="78">
        <v>0</v>
      </c>
      <c r="P565" s="78">
        <v>0</v>
      </c>
      <c r="Q565" s="78">
        <v>0</v>
      </c>
      <c r="R565" s="78">
        <v>0</v>
      </c>
      <c r="S565" s="78">
        <v>0</v>
      </c>
      <c r="T565" s="78">
        <v>22496</v>
      </c>
      <c r="U565" s="112">
        <v>0</v>
      </c>
      <c r="V565" s="112">
        <v>0</v>
      </c>
      <c r="W565" s="78" t="s">
        <v>318</v>
      </c>
    </row>
    <row r="566" spans="1:23" s="115" customFormat="1" ht="14.45" customHeight="1" x14ac:dyDescent="0.2">
      <c r="A566" s="78" t="s">
        <v>439</v>
      </c>
      <c r="B566" s="78" t="s">
        <v>487</v>
      </c>
      <c r="C566" s="78">
        <v>0</v>
      </c>
      <c r="D566" s="78">
        <v>0</v>
      </c>
      <c r="E566" s="78">
        <v>0</v>
      </c>
      <c r="F566" s="78">
        <v>0</v>
      </c>
      <c r="G566" s="78">
        <v>0</v>
      </c>
      <c r="H566" s="78">
        <v>0</v>
      </c>
      <c r="I566" s="78">
        <v>0</v>
      </c>
      <c r="J566" s="78">
        <v>0</v>
      </c>
      <c r="K566" s="78">
        <v>0</v>
      </c>
      <c r="L566" s="78">
        <v>0</v>
      </c>
      <c r="M566" s="78">
        <v>0</v>
      </c>
      <c r="N566" s="78">
        <v>0</v>
      </c>
      <c r="O566" s="78">
        <v>0</v>
      </c>
      <c r="P566" s="78">
        <v>0</v>
      </c>
      <c r="Q566" s="78">
        <v>0</v>
      </c>
      <c r="R566" s="78">
        <v>0</v>
      </c>
      <c r="S566" s="78">
        <v>0</v>
      </c>
      <c r="T566" s="78">
        <v>5</v>
      </c>
      <c r="U566" s="112">
        <v>0</v>
      </c>
      <c r="V566" s="112">
        <v>0</v>
      </c>
      <c r="W566" s="78" t="s">
        <v>440</v>
      </c>
    </row>
    <row r="567" spans="1:23" s="115" customFormat="1" ht="14.45" customHeight="1" x14ac:dyDescent="0.2">
      <c r="A567" s="78" t="s">
        <v>319</v>
      </c>
      <c r="B567" s="78" t="s">
        <v>487</v>
      </c>
      <c r="C567" s="78">
        <v>1578</v>
      </c>
      <c r="D567" s="78">
        <v>0</v>
      </c>
      <c r="E567" s="78">
        <v>0</v>
      </c>
      <c r="F567" s="78">
        <v>0</v>
      </c>
      <c r="G567" s="78">
        <v>0</v>
      </c>
      <c r="H567" s="78">
        <v>0</v>
      </c>
      <c r="I567" s="78">
        <v>0</v>
      </c>
      <c r="J567" s="78">
        <v>646</v>
      </c>
      <c r="K567" s="78">
        <v>646</v>
      </c>
      <c r="L567" s="78">
        <v>0</v>
      </c>
      <c r="M567" s="78">
        <v>0</v>
      </c>
      <c r="N567" s="78">
        <v>0</v>
      </c>
      <c r="O567" s="78">
        <v>0</v>
      </c>
      <c r="P567" s="78">
        <v>6</v>
      </c>
      <c r="Q567" s="78">
        <v>0</v>
      </c>
      <c r="R567" s="78">
        <v>926</v>
      </c>
      <c r="S567" s="78">
        <v>932</v>
      </c>
      <c r="T567" s="78">
        <v>1578</v>
      </c>
      <c r="U567" s="112">
        <v>3.8022813688212902E-3</v>
      </c>
      <c r="V567" s="112">
        <v>1</v>
      </c>
      <c r="W567" s="78" t="s">
        <v>320</v>
      </c>
    </row>
    <row r="568" spans="1:23" s="115" customFormat="1" ht="14.45" customHeight="1" x14ac:dyDescent="0.2">
      <c r="A568" s="78" t="s">
        <v>319</v>
      </c>
      <c r="B568" s="78" t="s">
        <v>491</v>
      </c>
      <c r="C568" s="78">
        <v>3206577</v>
      </c>
      <c r="D568" s="78">
        <v>89228</v>
      </c>
      <c r="E568" s="78">
        <v>134666</v>
      </c>
      <c r="F568" s="78">
        <v>245676</v>
      </c>
      <c r="G568" s="78">
        <v>469570</v>
      </c>
      <c r="H568" s="78">
        <v>1168471</v>
      </c>
      <c r="I568" s="78">
        <v>0</v>
      </c>
      <c r="J568" s="78">
        <v>110115</v>
      </c>
      <c r="K568" s="78">
        <v>1748156</v>
      </c>
      <c r="L568" s="78">
        <v>86900</v>
      </c>
      <c r="M568" s="78">
        <v>128503</v>
      </c>
      <c r="N568" s="78">
        <v>211713</v>
      </c>
      <c r="O568" s="78">
        <v>427116</v>
      </c>
      <c r="P568" s="78">
        <v>930273</v>
      </c>
      <c r="Q568" s="78">
        <v>0</v>
      </c>
      <c r="R568" s="78">
        <v>101032</v>
      </c>
      <c r="S568" s="78">
        <v>1458421</v>
      </c>
      <c r="T568" s="78">
        <v>3206577</v>
      </c>
      <c r="U568" s="112">
        <v>0.93415190092113798</v>
      </c>
      <c r="V568" s="112">
        <v>1</v>
      </c>
      <c r="W568" s="78" t="s">
        <v>320</v>
      </c>
    </row>
    <row r="569" spans="1:23" s="115" customFormat="1" ht="14.45" customHeight="1" x14ac:dyDescent="0.2">
      <c r="A569" s="78" t="s">
        <v>319</v>
      </c>
      <c r="B569" s="78" t="s">
        <v>486</v>
      </c>
      <c r="C569" s="78">
        <v>29336</v>
      </c>
      <c r="D569" s="78">
        <v>800</v>
      </c>
      <c r="E569" s="78">
        <v>1074</v>
      </c>
      <c r="F569" s="78">
        <v>1341</v>
      </c>
      <c r="G569" s="78">
        <v>3215</v>
      </c>
      <c r="H569" s="78">
        <v>2125</v>
      </c>
      <c r="I569" s="78">
        <v>267</v>
      </c>
      <c r="J569" s="78">
        <v>9600</v>
      </c>
      <c r="K569" s="78">
        <v>15207</v>
      </c>
      <c r="L569" s="78">
        <v>512</v>
      </c>
      <c r="M569" s="78">
        <v>683</v>
      </c>
      <c r="N569" s="78">
        <v>854</v>
      </c>
      <c r="O569" s="78">
        <v>2049</v>
      </c>
      <c r="P569" s="78">
        <v>1509</v>
      </c>
      <c r="Q569" s="78">
        <v>171</v>
      </c>
      <c r="R569" s="78">
        <v>10400</v>
      </c>
      <c r="S569" s="78">
        <v>14129</v>
      </c>
      <c r="T569" s="78">
        <v>29336</v>
      </c>
      <c r="U569" s="112">
        <v>0.31824379601854402</v>
      </c>
      <c r="V569" s="112">
        <v>1</v>
      </c>
      <c r="W569" s="78" t="s">
        <v>320</v>
      </c>
    </row>
    <row r="570" spans="1:23" s="115" customFormat="1" ht="14.45" customHeight="1" x14ac:dyDescent="0.2">
      <c r="A570" s="78" t="s">
        <v>321</v>
      </c>
      <c r="B570" s="78" t="s">
        <v>486</v>
      </c>
      <c r="C570" s="78">
        <v>19</v>
      </c>
      <c r="D570" s="78">
        <v>0</v>
      </c>
      <c r="E570" s="78">
        <v>0</v>
      </c>
      <c r="F570" s="78">
        <v>0</v>
      </c>
      <c r="G570" s="78">
        <v>0</v>
      </c>
      <c r="H570" s="78">
        <v>5</v>
      </c>
      <c r="I570" s="78">
        <v>0</v>
      </c>
      <c r="J570" s="78">
        <v>0</v>
      </c>
      <c r="K570" s="78">
        <v>5</v>
      </c>
      <c r="L570" s="78">
        <v>0</v>
      </c>
      <c r="M570" s="78">
        <v>0</v>
      </c>
      <c r="N570" s="78">
        <v>0</v>
      </c>
      <c r="O570" s="78">
        <v>0</v>
      </c>
      <c r="P570" s="78">
        <v>14</v>
      </c>
      <c r="Q570" s="78">
        <v>0</v>
      </c>
      <c r="R570" s="78">
        <v>0</v>
      </c>
      <c r="S570" s="78">
        <v>14</v>
      </c>
      <c r="T570" s="78">
        <v>19</v>
      </c>
      <c r="U570" s="112">
        <v>1</v>
      </c>
      <c r="V570" s="112">
        <v>1</v>
      </c>
      <c r="W570" s="78" t="s">
        <v>322</v>
      </c>
    </row>
    <row r="571" spans="1:23" s="115" customFormat="1" ht="14.45" customHeight="1" x14ac:dyDescent="0.2">
      <c r="A571" s="78" t="s">
        <v>321</v>
      </c>
      <c r="B571" s="78" t="s">
        <v>490</v>
      </c>
      <c r="C571" s="78">
        <v>0</v>
      </c>
      <c r="D571" s="78">
        <v>0</v>
      </c>
      <c r="E571" s="78">
        <v>0</v>
      </c>
      <c r="F571" s="78">
        <v>0</v>
      </c>
      <c r="G571" s="78">
        <v>0</v>
      </c>
      <c r="H571" s="78">
        <v>0</v>
      </c>
      <c r="I571" s="78">
        <v>0</v>
      </c>
      <c r="J571" s="78">
        <v>0</v>
      </c>
      <c r="K571" s="78">
        <v>0</v>
      </c>
      <c r="L571" s="78">
        <v>0</v>
      </c>
      <c r="M571" s="78">
        <v>0</v>
      </c>
      <c r="N571" s="78">
        <v>0</v>
      </c>
      <c r="O571" s="78">
        <v>0</v>
      </c>
      <c r="P571" s="78">
        <v>0</v>
      </c>
      <c r="Q571" s="78">
        <v>0</v>
      </c>
      <c r="R571" s="78">
        <v>0</v>
      </c>
      <c r="S571" s="78">
        <v>0</v>
      </c>
      <c r="T571" s="78">
        <v>26811</v>
      </c>
      <c r="U571" s="112">
        <v>0</v>
      </c>
      <c r="V571" s="112">
        <v>0</v>
      </c>
      <c r="W571" s="78" t="s">
        <v>322</v>
      </c>
    </row>
    <row r="572" spans="1:23" s="115" customFormat="1" ht="14.45" customHeight="1" x14ac:dyDescent="0.2">
      <c r="A572" s="78" t="s">
        <v>323</v>
      </c>
      <c r="B572" s="78" t="s">
        <v>492</v>
      </c>
      <c r="C572" s="78">
        <v>0</v>
      </c>
      <c r="D572" s="78">
        <v>0</v>
      </c>
      <c r="E572" s="78">
        <v>0</v>
      </c>
      <c r="F572" s="78">
        <v>0</v>
      </c>
      <c r="G572" s="78">
        <v>0</v>
      </c>
      <c r="H572" s="78">
        <v>0</v>
      </c>
      <c r="I572" s="78">
        <v>0</v>
      </c>
      <c r="J572" s="78">
        <v>0</v>
      </c>
      <c r="K572" s="78">
        <v>0</v>
      </c>
      <c r="L572" s="78">
        <v>0</v>
      </c>
      <c r="M572" s="78">
        <v>0</v>
      </c>
      <c r="N572" s="78">
        <v>0</v>
      </c>
      <c r="O572" s="78">
        <v>0</v>
      </c>
      <c r="P572" s="78">
        <v>0</v>
      </c>
      <c r="Q572" s="78">
        <v>0</v>
      </c>
      <c r="R572" s="78">
        <v>0</v>
      </c>
      <c r="S572" s="78">
        <v>0</v>
      </c>
      <c r="T572" s="78">
        <v>6</v>
      </c>
      <c r="U572" s="112">
        <v>0</v>
      </c>
      <c r="V572" s="112">
        <v>0</v>
      </c>
      <c r="W572" s="78" t="s">
        <v>324</v>
      </c>
    </row>
    <row r="573" spans="1:23" s="115" customFormat="1" ht="14.45" customHeight="1" x14ac:dyDescent="0.2">
      <c r="A573" s="78" t="s">
        <v>325</v>
      </c>
      <c r="B573" s="78" t="s">
        <v>487</v>
      </c>
      <c r="C573" s="78">
        <v>15259</v>
      </c>
      <c r="D573" s="78">
        <v>321</v>
      </c>
      <c r="E573" s="78">
        <v>504</v>
      </c>
      <c r="F573" s="78">
        <v>443</v>
      </c>
      <c r="G573" s="78">
        <v>1268</v>
      </c>
      <c r="H573" s="78">
        <v>3432</v>
      </c>
      <c r="I573" s="78">
        <v>285</v>
      </c>
      <c r="J573" s="78">
        <v>0</v>
      </c>
      <c r="K573" s="78">
        <v>4985</v>
      </c>
      <c r="L573" s="78">
        <v>346</v>
      </c>
      <c r="M573" s="78">
        <v>583</v>
      </c>
      <c r="N573" s="78">
        <v>625</v>
      </c>
      <c r="O573" s="78">
        <v>1554</v>
      </c>
      <c r="P573" s="78">
        <v>8439</v>
      </c>
      <c r="Q573" s="78">
        <v>281</v>
      </c>
      <c r="R573" s="78">
        <v>0</v>
      </c>
      <c r="S573" s="78">
        <v>10274</v>
      </c>
      <c r="T573" s="78">
        <v>15259</v>
      </c>
      <c r="U573" s="112">
        <v>1</v>
      </c>
      <c r="V573" s="112">
        <v>1</v>
      </c>
      <c r="W573" s="78" t="s">
        <v>326</v>
      </c>
    </row>
    <row r="574" spans="1:23" s="115" customFormat="1" ht="14.45" customHeight="1" x14ac:dyDescent="0.2">
      <c r="A574" s="78" t="s">
        <v>325</v>
      </c>
      <c r="B574" s="78" t="s">
        <v>489</v>
      </c>
      <c r="C574" s="78">
        <v>4516341</v>
      </c>
      <c r="D574" s="78">
        <v>0</v>
      </c>
      <c r="E574" s="78">
        <v>0</v>
      </c>
      <c r="F574" s="78">
        <v>0</v>
      </c>
      <c r="G574" s="78">
        <v>0</v>
      </c>
      <c r="H574" s="78">
        <v>0</v>
      </c>
      <c r="I574" s="78">
        <v>0</v>
      </c>
      <c r="J574" s="78">
        <v>2231635</v>
      </c>
      <c r="K574" s="78">
        <v>2231635</v>
      </c>
      <c r="L574" s="78">
        <v>0</v>
      </c>
      <c r="M574" s="78">
        <v>0</v>
      </c>
      <c r="N574" s="78">
        <v>0</v>
      </c>
      <c r="O574" s="78">
        <v>0</v>
      </c>
      <c r="P574" s="78">
        <v>0</v>
      </c>
      <c r="Q574" s="78">
        <v>0</v>
      </c>
      <c r="R574" s="78">
        <v>2284706</v>
      </c>
      <c r="S574" s="78">
        <v>2284706</v>
      </c>
      <c r="T574" s="78">
        <v>4516341</v>
      </c>
      <c r="U574" s="112">
        <v>0</v>
      </c>
      <c r="V574" s="112">
        <v>1</v>
      </c>
      <c r="W574" s="78" t="s">
        <v>326</v>
      </c>
    </row>
    <row r="575" spans="1:23" s="115" customFormat="1" ht="14.45" customHeight="1" x14ac:dyDescent="0.2">
      <c r="A575" s="78" t="s">
        <v>325</v>
      </c>
      <c r="B575" s="78" t="s">
        <v>491</v>
      </c>
      <c r="C575" s="78">
        <v>15</v>
      </c>
      <c r="D575" s="78">
        <v>0</v>
      </c>
      <c r="E575" s="78">
        <v>0</v>
      </c>
      <c r="F575" s="78">
        <v>0</v>
      </c>
      <c r="G575" s="78">
        <v>0</v>
      </c>
      <c r="H575" s="78">
        <v>5</v>
      </c>
      <c r="I575" s="78">
        <v>0</v>
      </c>
      <c r="J575" s="78">
        <v>0</v>
      </c>
      <c r="K575" s="78">
        <v>5</v>
      </c>
      <c r="L575" s="78">
        <v>0</v>
      </c>
      <c r="M575" s="78">
        <v>0</v>
      </c>
      <c r="N575" s="78">
        <v>5</v>
      </c>
      <c r="O575" s="78">
        <v>5</v>
      </c>
      <c r="P575" s="78">
        <v>5</v>
      </c>
      <c r="Q575" s="78">
        <v>0</v>
      </c>
      <c r="R575" s="78">
        <v>0</v>
      </c>
      <c r="S575" s="78">
        <v>10</v>
      </c>
      <c r="T575" s="78">
        <v>15</v>
      </c>
      <c r="U575" s="112">
        <v>1</v>
      </c>
      <c r="V575" s="112">
        <v>1</v>
      </c>
      <c r="W575" s="78" t="s">
        <v>326</v>
      </c>
    </row>
    <row r="576" spans="1:23" s="115" customFormat="1" ht="14.45" customHeight="1" x14ac:dyDescent="0.2">
      <c r="A576" s="78" t="s">
        <v>325</v>
      </c>
      <c r="B576" s="78" t="s">
        <v>492</v>
      </c>
      <c r="C576" s="78">
        <v>0</v>
      </c>
      <c r="D576" s="78">
        <v>0</v>
      </c>
      <c r="E576" s="78">
        <v>0</v>
      </c>
      <c r="F576" s="78">
        <v>0</v>
      </c>
      <c r="G576" s="78">
        <v>0</v>
      </c>
      <c r="H576" s="78">
        <v>0</v>
      </c>
      <c r="I576" s="78">
        <v>0</v>
      </c>
      <c r="J576" s="78">
        <v>0</v>
      </c>
      <c r="K576" s="78">
        <v>0</v>
      </c>
      <c r="L576" s="78">
        <v>0</v>
      </c>
      <c r="M576" s="78">
        <v>0</v>
      </c>
      <c r="N576" s="78">
        <v>0</v>
      </c>
      <c r="O576" s="78">
        <v>0</v>
      </c>
      <c r="P576" s="78">
        <v>0</v>
      </c>
      <c r="Q576" s="78">
        <v>0</v>
      </c>
      <c r="R576" s="78">
        <v>0</v>
      </c>
      <c r="S576" s="78">
        <v>0</v>
      </c>
      <c r="T576" s="78">
        <v>11</v>
      </c>
      <c r="U576" s="112">
        <v>0</v>
      </c>
      <c r="V576" s="112">
        <v>0</v>
      </c>
      <c r="W576" s="78" t="s">
        <v>326</v>
      </c>
    </row>
    <row r="577" spans="1:23" s="115" customFormat="1" ht="14.45" customHeight="1" x14ac:dyDescent="0.2">
      <c r="A577" s="78" t="s">
        <v>325</v>
      </c>
      <c r="B577" s="78" t="s">
        <v>486</v>
      </c>
      <c r="C577" s="78">
        <v>55568</v>
      </c>
      <c r="D577" s="78">
        <v>1532</v>
      </c>
      <c r="E577" s="78">
        <v>3518</v>
      </c>
      <c r="F577" s="78">
        <v>3252</v>
      </c>
      <c r="G577" s="78">
        <v>8302</v>
      </c>
      <c r="H577" s="78">
        <v>17111</v>
      </c>
      <c r="I577" s="78">
        <v>1536</v>
      </c>
      <c r="J577" s="78">
        <v>0</v>
      </c>
      <c r="K577" s="78">
        <v>26949</v>
      </c>
      <c r="L577" s="78">
        <v>1690</v>
      </c>
      <c r="M577" s="78">
        <v>3603</v>
      </c>
      <c r="N577" s="78">
        <v>3323</v>
      </c>
      <c r="O577" s="78">
        <v>8616</v>
      </c>
      <c r="P577" s="78">
        <v>18525</v>
      </c>
      <c r="Q577" s="78">
        <v>1478</v>
      </c>
      <c r="R577" s="78">
        <v>0</v>
      </c>
      <c r="S577" s="78">
        <v>28619</v>
      </c>
      <c r="T577" s="78">
        <v>55568</v>
      </c>
      <c r="U577" s="112">
        <v>1</v>
      </c>
      <c r="V577" s="112">
        <v>1</v>
      </c>
      <c r="W577" s="78" t="s">
        <v>326</v>
      </c>
    </row>
    <row r="578" spans="1:23" s="115" customFormat="1" ht="14.45" customHeight="1" x14ac:dyDescent="0.2">
      <c r="A578" s="78" t="s">
        <v>327</v>
      </c>
      <c r="B578" s="78" t="s">
        <v>487</v>
      </c>
      <c r="C578" s="78">
        <v>5549</v>
      </c>
      <c r="D578" s="78">
        <v>303</v>
      </c>
      <c r="E578" s="78">
        <v>380</v>
      </c>
      <c r="F578" s="78">
        <v>292</v>
      </c>
      <c r="G578" s="78">
        <v>975</v>
      </c>
      <c r="H578" s="78">
        <v>927</v>
      </c>
      <c r="I578" s="78">
        <v>35</v>
      </c>
      <c r="J578" s="78">
        <v>0</v>
      </c>
      <c r="K578" s="78">
        <v>1937</v>
      </c>
      <c r="L578" s="78">
        <v>298</v>
      </c>
      <c r="M578" s="78">
        <v>377</v>
      </c>
      <c r="N578" s="78">
        <v>409</v>
      </c>
      <c r="O578" s="78">
        <v>1084</v>
      </c>
      <c r="P578" s="78">
        <v>2503</v>
      </c>
      <c r="Q578" s="78">
        <v>25</v>
      </c>
      <c r="R578" s="78">
        <v>0</v>
      </c>
      <c r="S578" s="78">
        <v>3612</v>
      </c>
      <c r="T578" s="78">
        <v>5549</v>
      </c>
      <c r="U578" s="112">
        <v>1</v>
      </c>
      <c r="V578" s="112">
        <v>1</v>
      </c>
      <c r="W578" s="78" t="s">
        <v>328</v>
      </c>
    </row>
    <row r="579" spans="1:23" s="115" customFormat="1" ht="14.45" customHeight="1" x14ac:dyDescent="0.2">
      <c r="A579" s="78" t="s">
        <v>327</v>
      </c>
      <c r="B579" s="78" t="s">
        <v>491</v>
      </c>
      <c r="C579" s="78">
        <v>17550</v>
      </c>
      <c r="D579" s="78">
        <v>976</v>
      </c>
      <c r="E579" s="78">
        <v>1855</v>
      </c>
      <c r="F579" s="78">
        <v>1574</v>
      </c>
      <c r="G579" s="78">
        <v>4405</v>
      </c>
      <c r="H579" s="78">
        <v>4167</v>
      </c>
      <c r="I579" s="78">
        <v>467</v>
      </c>
      <c r="J579" s="78">
        <v>0</v>
      </c>
      <c r="K579" s="78">
        <v>9039</v>
      </c>
      <c r="L579" s="78">
        <v>987</v>
      </c>
      <c r="M579" s="78">
        <v>1773</v>
      </c>
      <c r="N579" s="78">
        <v>1547</v>
      </c>
      <c r="O579" s="78">
        <v>4307</v>
      </c>
      <c r="P579" s="78">
        <v>3343</v>
      </c>
      <c r="Q579" s="78">
        <v>861</v>
      </c>
      <c r="R579" s="78">
        <v>0</v>
      </c>
      <c r="S579" s="78">
        <v>8511</v>
      </c>
      <c r="T579" s="78">
        <v>17550</v>
      </c>
      <c r="U579" s="112">
        <v>1</v>
      </c>
      <c r="V579" s="112">
        <v>1</v>
      </c>
      <c r="W579" s="78" t="s">
        <v>328</v>
      </c>
    </row>
    <row r="580" spans="1:23" s="115" customFormat="1" ht="14.45" customHeight="1" x14ac:dyDescent="0.2">
      <c r="A580" s="78" t="s">
        <v>327</v>
      </c>
      <c r="B580" s="78" t="s">
        <v>486</v>
      </c>
      <c r="C580" s="78">
        <v>72411</v>
      </c>
      <c r="D580" s="78">
        <v>4133</v>
      </c>
      <c r="E580" s="78">
        <v>6495</v>
      </c>
      <c r="F580" s="78">
        <v>4955</v>
      </c>
      <c r="G580" s="78">
        <v>15583</v>
      </c>
      <c r="H580" s="78">
        <v>15176</v>
      </c>
      <c r="I580" s="78">
        <v>627</v>
      </c>
      <c r="J580" s="78">
        <v>0</v>
      </c>
      <c r="K580" s="78">
        <v>31386</v>
      </c>
      <c r="L580" s="78">
        <v>4308</v>
      </c>
      <c r="M580" s="78">
        <v>6316</v>
      </c>
      <c r="N580" s="78">
        <v>5146</v>
      </c>
      <c r="O580" s="78">
        <v>15770</v>
      </c>
      <c r="P580" s="78">
        <v>24495</v>
      </c>
      <c r="Q580" s="78">
        <v>760</v>
      </c>
      <c r="R580" s="78">
        <v>0</v>
      </c>
      <c r="S580" s="78">
        <v>41025</v>
      </c>
      <c r="T580" s="78">
        <v>72411</v>
      </c>
      <c r="U580" s="112">
        <v>1</v>
      </c>
      <c r="V580" s="112">
        <v>1</v>
      </c>
      <c r="W580" s="78" t="s">
        <v>328</v>
      </c>
    </row>
    <row r="581" spans="1:23" s="115" customFormat="1" ht="14.45" customHeight="1" x14ac:dyDescent="0.2">
      <c r="A581" s="78" t="s">
        <v>329</v>
      </c>
      <c r="B581" s="78" t="s">
        <v>487</v>
      </c>
      <c r="C581" s="78">
        <v>5905</v>
      </c>
      <c r="D581" s="78">
        <v>402</v>
      </c>
      <c r="E581" s="78">
        <v>595</v>
      </c>
      <c r="F581" s="78">
        <v>387</v>
      </c>
      <c r="G581" s="78">
        <v>1384</v>
      </c>
      <c r="H581" s="78">
        <v>1265</v>
      </c>
      <c r="I581" s="78">
        <v>70</v>
      </c>
      <c r="J581" s="78">
        <v>0</v>
      </c>
      <c r="K581" s="78">
        <v>2719</v>
      </c>
      <c r="L581" s="78">
        <v>383</v>
      </c>
      <c r="M581" s="78">
        <v>599</v>
      </c>
      <c r="N581" s="78">
        <v>409</v>
      </c>
      <c r="O581" s="78">
        <v>1391</v>
      </c>
      <c r="P581" s="78">
        <v>1740</v>
      </c>
      <c r="Q581" s="78">
        <v>55</v>
      </c>
      <c r="R581" s="78">
        <v>0</v>
      </c>
      <c r="S581" s="78">
        <v>3186</v>
      </c>
      <c r="T581" s="78">
        <v>12451</v>
      </c>
      <c r="U581" s="112">
        <v>0.47425909565496699</v>
      </c>
      <c r="V581" s="112">
        <v>0.47425909565496699</v>
      </c>
      <c r="W581" s="78" t="s">
        <v>330</v>
      </c>
    </row>
    <row r="582" spans="1:23" s="115" customFormat="1" ht="14.45" customHeight="1" x14ac:dyDescent="0.2">
      <c r="A582" s="78" t="s">
        <v>329</v>
      </c>
      <c r="B582" s="78" t="s">
        <v>491</v>
      </c>
      <c r="C582" s="78">
        <v>1003</v>
      </c>
      <c r="D582" s="78">
        <v>61</v>
      </c>
      <c r="E582" s="78">
        <v>96</v>
      </c>
      <c r="F582" s="78">
        <v>91</v>
      </c>
      <c r="G582" s="78">
        <v>248</v>
      </c>
      <c r="H582" s="78">
        <v>246</v>
      </c>
      <c r="I582" s="78">
        <v>0</v>
      </c>
      <c r="J582" s="78">
        <v>0</v>
      </c>
      <c r="K582" s="78">
        <v>494</v>
      </c>
      <c r="L582" s="78">
        <v>50</v>
      </c>
      <c r="M582" s="78">
        <v>114</v>
      </c>
      <c r="N582" s="78">
        <v>80</v>
      </c>
      <c r="O582" s="78">
        <v>244</v>
      </c>
      <c r="P582" s="78">
        <v>265</v>
      </c>
      <c r="Q582" s="78">
        <v>0</v>
      </c>
      <c r="R582" s="78">
        <v>0</v>
      </c>
      <c r="S582" s="78">
        <v>509</v>
      </c>
      <c r="T582" s="78">
        <v>1003</v>
      </c>
      <c r="U582" s="112">
        <v>1</v>
      </c>
      <c r="V582" s="112">
        <v>1</v>
      </c>
      <c r="W582" s="78" t="s">
        <v>330</v>
      </c>
    </row>
    <row r="583" spans="1:23" s="115" customFormat="1" ht="14.45" customHeight="1" x14ac:dyDescent="0.2">
      <c r="A583" s="78" t="s">
        <v>329</v>
      </c>
      <c r="B583" s="78" t="s">
        <v>486</v>
      </c>
      <c r="C583" s="78">
        <v>10114</v>
      </c>
      <c r="D583" s="78">
        <v>684</v>
      </c>
      <c r="E583" s="78">
        <v>963</v>
      </c>
      <c r="F583" s="78">
        <v>724</v>
      </c>
      <c r="G583" s="78">
        <v>2371</v>
      </c>
      <c r="H583" s="78">
        <v>2266</v>
      </c>
      <c r="I583" s="78">
        <v>82</v>
      </c>
      <c r="J583" s="78">
        <v>0</v>
      </c>
      <c r="K583" s="78">
        <v>4719</v>
      </c>
      <c r="L583" s="78">
        <v>682</v>
      </c>
      <c r="M583" s="78">
        <v>985</v>
      </c>
      <c r="N583" s="78">
        <v>821</v>
      </c>
      <c r="O583" s="78">
        <v>2488</v>
      </c>
      <c r="P583" s="78">
        <v>2829</v>
      </c>
      <c r="Q583" s="78">
        <v>78</v>
      </c>
      <c r="R583" s="78">
        <v>0</v>
      </c>
      <c r="S583" s="78">
        <v>5395</v>
      </c>
      <c r="T583" s="78">
        <v>10114</v>
      </c>
      <c r="U583" s="112">
        <v>1</v>
      </c>
      <c r="V583" s="112">
        <v>1</v>
      </c>
      <c r="W583" s="78" t="s">
        <v>330</v>
      </c>
    </row>
    <row r="584" spans="1:23" ht="23.25" customHeight="1" x14ac:dyDescent="0.2">
      <c r="A584" s="66" t="s">
        <v>331</v>
      </c>
      <c r="B584" s="66"/>
      <c r="C584" s="67">
        <f>SUM(C18:C583)</f>
        <v>82665856</v>
      </c>
      <c r="D584" s="67">
        <f t="shared" ref="D584:T584" si="5">SUM(D18:D583)</f>
        <v>3972501</v>
      </c>
      <c r="E584" s="67">
        <f t="shared" si="5"/>
        <v>6267232</v>
      </c>
      <c r="F584" s="67">
        <f t="shared" si="5"/>
        <v>5128745</v>
      </c>
      <c r="G584" s="67">
        <f t="shared" si="5"/>
        <v>15368478</v>
      </c>
      <c r="H584" s="67">
        <f t="shared" si="5"/>
        <v>18667571</v>
      </c>
      <c r="I584" s="67">
        <f t="shared" si="5"/>
        <v>2530590</v>
      </c>
      <c r="J584" s="67">
        <f t="shared" si="5"/>
        <v>4939940</v>
      </c>
      <c r="K584" s="67">
        <f t="shared" si="5"/>
        <v>41506579</v>
      </c>
      <c r="L584" s="67">
        <f t="shared" si="5"/>
        <v>4053008</v>
      </c>
      <c r="M584" s="67">
        <f t="shared" si="5"/>
        <v>6685517</v>
      </c>
      <c r="N584" s="67">
        <f t="shared" si="5"/>
        <v>5365931</v>
      </c>
      <c r="O584" s="67">
        <f t="shared" si="5"/>
        <v>16104456</v>
      </c>
      <c r="P584" s="67">
        <f t="shared" si="5"/>
        <v>17725230</v>
      </c>
      <c r="Q584" s="67">
        <f t="shared" si="5"/>
        <v>2202131</v>
      </c>
      <c r="R584" s="67">
        <f t="shared" si="5"/>
        <v>5127460</v>
      </c>
      <c r="S584" s="67">
        <f t="shared" si="5"/>
        <v>41159277</v>
      </c>
      <c r="T584" s="67">
        <f t="shared" si="5"/>
        <v>122622849</v>
      </c>
      <c r="U584" s="113">
        <f>(S584-R584+K584-J584)/T584</f>
        <v>0.59204672369013378</v>
      </c>
      <c r="V584" s="113">
        <f>(S584+K584)/T584</f>
        <v>0.67414724640755985</v>
      </c>
      <c r="W584" s="114"/>
    </row>
    <row r="585" spans="1:23" x14ac:dyDescent="0.2">
      <c r="A585" s="33"/>
      <c r="B585" s="33"/>
      <c r="C585" s="53"/>
      <c r="D585" s="33"/>
      <c r="E585" s="33"/>
      <c r="F585" s="33"/>
      <c r="G585" s="33"/>
      <c r="H585" s="33"/>
      <c r="I585" s="33"/>
      <c r="J585" s="33"/>
      <c r="K585" s="33"/>
      <c r="L585" s="33"/>
      <c r="M585" s="33"/>
      <c r="N585" s="33"/>
      <c r="O585" s="33"/>
      <c r="P585" s="33"/>
      <c r="Q585" s="33"/>
      <c r="R585" s="33"/>
      <c r="S585" s="33"/>
      <c r="T585" s="53"/>
      <c r="U585" s="106"/>
      <c r="V585" s="106"/>
      <c r="W585" s="106"/>
    </row>
    <row r="586" spans="1:23" ht="12" x14ac:dyDescent="0.2">
      <c r="A586" s="68" t="s">
        <v>348</v>
      </c>
      <c r="B586" s="33"/>
      <c r="C586" s="53"/>
      <c r="D586" s="33"/>
      <c r="E586" s="33"/>
      <c r="F586" s="33"/>
      <c r="G586" s="33"/>
      <c r="H586" s="33"/>
      <c r="I586" s="33"/>
      <c r="J586" s="33"/>
      <c r="K586" s="33"/>
      <c r="L586" s="33"/>
      <c r="M586" s="33"/>
      <c r="N586" s="33"/>
      <c r="O586" s="33"/>
      <c r="P586" s="33"/>
      <c r="Q586" s="33"/>
      <c r="R586" s="33"/>
      <c r="S586" s="33"/>
      <c r="T586" s="53"/>
      <c r="U586" s="106"/>
      <c r="V586" s="106"/>
      <c r="W586" s="106"/>
    </row>
    <row r="587" spans="1:23" ht="13.5" x14ac:dyDescent="0.2">
      <c r="A587" s="38" t="s">
        <v>603</v>
      </c>
      <c r="B587" s="33"/>
      <c r="C587" s="53"/>
      <c r="D587" s="33"/>
      <c r="E587" s="33"/>
      <c r="F587" s="33"/>
      <c r="G587" s="33"/>
      <c r="H587" s="33"/>
      <c r="I587" s="33"/>
      <c r="J587" s="33"/>
      <c r="K587" s="33"/>
      <c r="L587" s="33"/>
      <c r="M587" s="33"/>
      <c r="N587" s="33"/>
      <c r="O587" s="33"/>
      <c r="P587" s="33"/>
      <c r="Q587" s="33"/>
      <c r="R587" s="33"/>
      <c r="S587" s="33"/>
      <c r="T587" s="53"/>
      <c r="U587" s="106"/>
      <c r="V587" s="106"/>
      <c r="W587" s="106"/>
    </row>
  </sheetData>
  <autoFilter ref="A9:W584" xr:uid="{2D7296D3-5750-404B-B342-B4D74E276FFF}"/>
  <mergeCells count="3">
    <mergeCell ref="A4:V4"/>
    <mergeCell ref="A6:Q6"/>
    <mergeCell ref="U8:V8"/>
  </mergeCells>
  <conditionalFormatting sqref="A18:W583">
    <cfRule type="expression" dxfId="0" priority="1">
      <formula>MOD(ROW(),2)=0</formula>
    </cfRule>
  </conditionalFormatting>
  <hyperlinks>
    <hyperlink ref="B3" r:id="rId1" xr:uid="{07A23DC4-4738-4E99-A2D9-D4A98D248CFA}"/>
  </hyperlinks>
  <printOptions horizontalCentered="1" gridLines="1"/>
  <pageMargins left="0.7" right="0.7" top="0.75" bottom="0.75" header="0.3" footer="0.3"/>
  <pageSetup paperSize="9" scale="70" fitToHeight="0"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943672-0112-4789-b677-f016a4791e7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B95B39CED7B03408537CED8FC1658C4" ma:contentTypeVersion="16" ma:contentTypeDescription="Create a new document." ma:contentTypeScope="" ma:versionID="e855aa0332ab2e79c8a422460083ea9a">
  <xsd:schema xmlns:xsd="http://www.w3.org/2001/XMLSchema" xmlns:xs="http://www.w3.org/2001/XMLSchema" xmlns:p="http://schemas.microsoft.com/office/2006/metadata/properties" xmlns:ns2="19943672-0112-4789-b677-f016a4791e76" xmlns:ns3="a4828c25-174e-4608-b94e-f876c5d10756" targetNamespace="http://schemas.microsoft.com/office/2006/metadata/properties" ma:root="true" ma:fieldsID="a6797ab1e2d9f8b3ab994c5c19fdb557" ns2:_="" ns3:_="">
    <xsd:import namespace="19943672-0112-4789-b677-f016a4791e76"/>
    <xsd:import namespace="a4828c25-174e-4608-b94e-f876c5d107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43672-0112-4789-b677-f016a4791e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5f3f4cc-79b9-4d17-b8fa-dd7577b1fbe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828c25-174e-4608-b94e-f876c5d1075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3AC542-83CB-487D-A17F-007D6B8E9D9F}">
  <ds:schemaRefs>
    <ds:schemaRef ds:uri="http://schemas.microsoft.com/office/2006/metadata/properties"/>
    <ds:schemaRef ds:uri="http://schemas.microsoft.com/office/infopath/2007/PartnerControls"/>
    <ds:schemaRef ds:uri="19943672-0112-4789-b677-f016a4791e76"/>
  </ds:schemaRefs>
</ds:datastoreItem>
</file>

<file path=customXml/itemProps2.xml><?xml version="1.0" encoding="utf-8"?>
<ds:datastoreItem xmlns:ds="http://schemas.openxmlformats.org/officeDocument/2006/customXml" ds:itemID="{BB347504-392E-4550-A675-47B1846CEB94}">
  <ds:schemaRefs>
    <ds:schemaRef ds:uri="http://schemas.microsoft.com/sharepoint/v3/contenttype/forms"/>
  </ds:schemaRefs>
</ds:datastoreItem>
</file>

<file path=customXml/itemProps3.xml><?xml version="1.0" encoding="utf-8"?>
<ds:datastoreItem xmlns:ds="http://schemas.openxmlformats.org/officeDocument/2006/customXml" ds:itemID="{76CC8ABA-1E34-4984-B944-82AD7BA3BE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43672-0112-4789-b677-f016a4791e76"/>
    <ds:schemaRef ds:uri="a4828c25-174e-4608-b94e-f876c5d107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pais_acogida</vt:lpstr>
      <vt:lpstr>pais_acogida_UNHCR_bureaus</vt:lpstr>
      <vt:lpstr>pais_acogida_UN_regions</vt:lpstr>
      <vt:lpstr>pais_origen</vt:lpstr>
      <vt:lpstr>pais_origen_UNHCR_bureaus</vt:lpstr>
      <vt:lpstr>pais_origen_UN_regions</vt:lpstr>
      <vt:lpstr>demografia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Janis Kreuder</dc:creator>
  <cp:lastModifiedBy>Chiara López</cp:lastModifiedBy>
  <dcterms:created xsi:type="dcterms:W3CDTF">2023-10-03T14:10:36Z</dcterms:created>
  <dcterms:modified xsi:type="dcterms:W3CDTF">2026-04-08T13:01:18Z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0x0101003B95B39CED7B03408537CED8FC1658C4</vt:lpwstr>
  </property>
  <property fmtid="{D5CDD505-2E9C-101B-9397-08002B2CF9AE}" pid="3" name="MediaServiceImageTags">
    <vt:lpwstr/>
  </property>
</Properties>
</file>